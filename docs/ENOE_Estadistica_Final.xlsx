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ownloads\"/>
    </mc:Choice>
  </mc:AlternateContent>
  <xr:revisionPtr revIDLastSave="0" documentId="8_{4A514B20-A61D-47CC-9F08-93A0E51BB112}" xr6:coauthVersionLast="47" xr6:coauthVersionMax="47" xr10:uidLastSave="{00000000-0000-0000-0000-000000000000}"/>
  <bookViews>
    <workbookView xWindow="-120" yWindow="-120" windowWidth="20730" windowHeight="11040" activeTab="3" xr2:uid="{08287865-50F3-405D-AC97-51A66531FDC2}"/>
  </bookViews>
  <sheets>
    <sheet name="Muestra" sheetId="1" r:id="rId1"/>
    <sheet name="Importancias" sheetId="2" r:id="rId2"/>
    <sheet name="Metricas (MAE)" sheetId="3" r:id="rId3"/>
    <sheet name="Cronolog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B23" i="1"/>
  <c r="C23" i="1"/>
  <c r="D23" i="1"/>
  <c r="E23" i="1"/>
  <c r="F23" i="1"/>
  <c r="C24" i="3"/>
  <c r="D24" i="3"/>
  <c r="E24" i="3"/>
  <c r="F24" i="3"/>
  <c r="G24" i="3"/>
  <c r="H24" i="3"/>
  <c r="I24" i="3"/>
  <c r="J24" i="3"/>
  <c r="K24" i="3"/>
  <c r="B24" i="3"/>
  <c r="AY24" i="2"/>
  <c r="AZ24" i="2"/>
  <c r="BA24" i="2"/>
  <c r="BB24" i="2"/>
  <c r="BC24" i="2"/>
  <c r="BD24" i="2"/>
  <c r="BE24" i="2"/>
  <c r="BF24" i="2"/>
  <c r="AX24" i="2"/>
  <c r="AM24" i="2"/>
  <c r="AN24" i="2"/>
  <c r="AO24" i="2"/>
  <c r="AP24" i="2"/>
  <c r="AQ24" i="2"/>
  <c r="AR24" i="2"/>
  <c r="AS24" i="2"/>
  <c r="AT24" i="2"/>
  <c r="AL24" i="2"/>
  <c r="AA24" i="2"/>
  <c r="AB24" i="2"/>
  <c r="AC24" i="2"/>
  <c r="AD24" i="2"/>
  <c r="AE24" i="2"/>
  <c r="AF24" i="2"/>
  <c r="AG24" i="2"/>
  <c r="AH24" i="2"/>
  <c r="Z24" i="2"/>
  <c r="O24" i="2"/>
  <c r="P24" i="2"/>
  <c r="Q24" i="2"/>
  <c r="R24" i="2"/>
  <c r="S24" i="2"/>
  <c r="T24" i="2"/>
  <c r="U24" i="2"/>
  <c r="V24" i="2"/>
  <c r="N24" i="2"/>
  <c r="J24" i="2"/>
  <c r="I24" i="2"/>
  <c r="G24" i="2"/>
  <c r="H24" i="2"/>
  <c r="F24" i="2"/>
  <c r="E24" i="2"/>
  <c r="D24" i="2"/>
  <c r="C24" i="2"/>
  <c r="B24" i="2"/>
</calcChain>
</file>

<file path=xl/sharedStrings.xml><?xml version="1.0" encoding="utf-8"?>
<sst xmlns="http://schemas.openxmlformats.org/spreadsheetml/2006/main" count="175" uniqueCount="49">
  <si>
    <t>Año</t>
  </si>
  <si>
    <t>Nuevo Leon</t>
  </si>
  <si>
    <t>Coahuila</t>
  </si>
  <si>
    <t>CDMX</t>
  </si>
  <si>
    <t>Quintana Roo</t>
  </si>
  <si>
    <t>Chiapas</t>
  </si>
  <si>
    <t>Escolaridad</t>
  </si>
  <si>
    <t>Edad</t>
  </si>
  <si>
    <t>Sexo</t>
  </si>
  <si>
    <t>Estado Conyugal</t>
  </si>
  <si>
    <t>Sector Actividad Economica</t>
  </si>
  <si>
    <t>Tamaño de Unidad Economica</t>
  </si>
  <si>
    <t>Informalidad Laboral</t>
  </si>
  <si>
    <t>Posicion por Ocupacion</t>
  </si>
  <si>
    <t>Horas Trabajadas</t>
  </si>
  <si>
    <t>NUEVO LEÓN</t>
  </si>
  <si>
    <t>COAHUILA</t>
  </si>
  <si>
    <t>Total</t>
  </si>
  <si>
    <t>CIUDAD DE MEXICO</t>
  </si>
  <si>
    <t>QUNTANA ROO</t>
  </si>
  <si>
    <t>CHIAPAS</t>
  </si>
  <si>
    <t>Train NL</t>
  </si>
  <si>
    <t>Test NL</t>
  </si>
  <si>
    <t>Train Coa</t>
  </si>
  <si>
    <t>Test Coa</t>
  </si>
  <si>
    <t>Train CDMX</t>
  </si>
  <si>
    <t>Test CDMX</t>
  </si>
  <si>
    <t>Train QR</t>
  </si>
  <si>
    <t>Test QR</t>
  </si>
  <si>
    <t>Train Chp</t>
  </si>
  <si>
    <t>Test Chp</t>
  </si>
  <si>
    <t>Columna1</t>
  </si>
  <si>
    <t>eda7c</t>
  </si>
  <si>
    <t>cs_p13_1</t>
  </si>
  <si>
    <t>emp_ppal</t>
  </si>
  <si>
    <t>COAHULIA</t>
  </si>
  <si>
    <t>QUINTANA ROO</t>
  </si>
  <si>
    <t>15-20</t>
  </si>
  <si>
    <t>20-30</t>
  </si>
  <si>
    <t>30-40</t>
  </si>
  <si>
    <t>40-50</t>
  </si>
  <si>
    <t>50-60</t>
  </si>
  <si>
    <t>60+</t>
  </si>
  <si>
    <t>Basico</t>
  </si>
  <si>
    <t>Media superior</t>
  </si>
  <si>
    <t>Superior</t>
  </si>
  <si>
    <t>Posgrado</t>
  </si>
  <si>
    <t>Informal</t>
  </si>
  <si>
    <t>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</si>
</sst>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name val="Segoe UI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1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BBBEB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Edad</a:t>
            </a:r>
            <a:r>
              <a:rPr lang="es-MX" baseline="0"/>
              <a:t>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Cronologia!$B$2</c:f>
              <c:strCache>
                <c:ptCount val="1"/>
                <c:pt idx="0">
                  <c:v>15-20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Cronologia!$B$3:$B$23</c:f>
              <c:numCache>
                <c:formatCode>General</c:formatCode>
                <c:ptCount val="21"/>
                <c:pt idx="0">
                  <c:v>5.3373309999999998</c:v>
                </c:pt>
                <c:pt idx="1">
                  <c:v>4.602131</c:v>
                </c:pt>
                <c:pt idx="2">
                  <c:v>4.7745569999999997</c:v>
                </c:pt>
                <c:pt idx="3">
                  <c:v>4.5443239999999996</c:v>
                </c:pt>
                <c:pt idx="4">
                  <c:v>4.0429789999999999</c:v>
                </c:pt>
                <c:pt idx="5">
                  <c:v>4.3193599999999996</c:v>
                </c:pt>
                <c:pt idx="6">
                  <c:v>4.5823669999999996</c:v>
                </c:pt>
                <c:pt idx="7">
                  <c:v>4.5313410000000003</c:v>
                </c:pt>
                <c:pt idx="8">
                  <c:v>4.386056</c:v>
                </c:pt>
                <c:pt idx="9">
                  <c:v>4.4641840000000004</c:v>
                </c:pt>
                <c:pt idx="10">
                  <c:v>4.4386729999999996</c:v>
                </c:pt>
                <c:pt idx="11">
                  <c:v>3.9937450000000001</c:v>
                </c:pt>
                <c:pt idx="12">
                  <c:v>3.4550839999999998</c:v>
                </c:pt>
                <c:pt idx="13">
                  <c:v>4.0670479999999998</c:v>
                </c:pt>
                <c:pt idx="14">
                  <c:v>3.9631449999999999</c:v>
                </c:pt>
                <c:pt idx="15">
                  <c:v>2.8513920000000001</c:v>
                </c:pt>
                <c:pt idx="16">
                  <c:v>3.660301</c:v>
                </c:pt>
                <c:pt idx="17">
                  <c:v>3.6680609999999998</c:v>
                </c:pt>
                <c:pt idx="18">
                  <c:v>3.8090199999999999</c:v>
                </c:pt>
                <c:pt idx="19">
                  <c:v>3.7154240000000001</c:v>
                </c:pt>
                <c:pt idx="20">
                  <c:v>3.6968329999999998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3-4498-B002-3686AA89D807}"/>
            </c:ext>
          </c:extLst>
        </c:ser>
        <c:ser>
          <c:idx val="1"/>
          <c:order val="1"/>
          <c:tx>
            <c:strRef>
              <c:f>Cronologia!$C$2</c:f>
              <c:strCache>
                <c:ptCount val="1"/>
                <c:pt idx="0">
                  <c:v>20-30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Cronologia!$C$3:$C$23</c:f>
              <c:numCache>
                <c:formatCode>General</c:formatCode>
                <c:ptCount val="21"/>
                <c:pt idx="0">
                  <c:v>23.958020999999999</c:v>
                </c:pt>
                <c:pt idx="1">
                  <c:v>24.46913</c:v>
                </c:pt>
                <c:pt idx="2">
                  <c:v>23.396108000000002</c:v>
                </c:pt>
                <c:pt idx="3">
                  <c:v>22.447963999999999</c:v>
                </c:pt>
                <c:pt idx="4">
                  <c:v>22.509561000000001</c:v>
                </c:pt>
                <c:pt idx="5">
                  <c:v>22.26971</c:v>
                </c:pt>
                <c:pt idx="6">
                  <c:v>22.998840000000001</c:v>
                </c:pt>
                <c:pt idx="7">
                  <c:v>22.482049</c:v>
                </c:pt>
                <c:pt idx="8">
                  <c:v>23.057825999999999</c:v>
                </c:pt>
                <c:pt idx="9">
                  <c:v>21.307368</c:v>
                </c:pt>
                <c:pt idx="10">
                  <c:v>22.039901</c:v>
                </c:pt>
                <c:pt idx="11">
                  <c:v>22.687356999999999</c:v>
                </c:pt>
                <c:pt idx="12">
                  <c:v>22.384008000000001</c:v>
                </c:pt>
                <c:pt idx="13">
                  <c:v>21.595634</c:v>
                </c:pt>
                <c:pt idx="14">
                  <c:v>21.330304000000002</c:v>
                </c:pt>
                <c:pt idx="15">
                  <c:v>18.316001</c:v>
                </c:pt>
                <c:pt idx="16">
                  <c:v>20.196759</c:v>
                </c:pt>
                <c:pt idx="17">
                  <c:v>21.283124000000001</c:v>
                </c:pt>
                <c:pt idx="18">
                  <c:v>19.613807999999999</c:v>
                </c:pt>
                <c:pt idx="19">
                  <c:v>18.975621</c:v>
                </c:pt>
                <c:pt idx="20">
                  <c:v>18.550416999999999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3-4498-B002-3686AA89D807}"/>
            </c:ext>
          </c:extLst>
        </c:ser>
        <c:ser>
          <c:idx val="2"/>
          <c:order val="2"/>
          <c:tx>
            <c:strRef>
              <c:f>Cronologia!$D$2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Cronologia!$D$3:$D$23</c:f>
              <c:numCache>
                <c:formatCode>General</c:formatCode>
                <c:ptCount val="21"/>
                <c:pt idx="0">
                  <c:v>27.968516000000001</c:v>
                </c:pt>
                <c:pt idx="1">
                  <c:v>28.459154999999999</c:v>
                </c:pt>
                <c:pt idx="2">
                  <c:v>27.483004000000001</c:v>
                </c:pt>
                <c:pt idx="3">
                  <c:v>27.796665999999998</c:v>
                </c:pt>
                <c:pt idx="4">
                  <c:v>27.217265000000001</c:v>
                </c:pt>
                <c:pt idx="5">
                  <c:v>27.807583999999999</c:v>
                </c:pt>
                <c:pt idx="6">
                  <c:v>26.769141999999999</c:v>
                </c:pt>
                <c:pt idx="7">
                  <c:v>24.170386000000001</c:v>
                </c:pt>
                <c:pt idx="8">
                  <c:v>24.485363</c:v>
                </c:pt>
                <c:pt idx="9">
                  <c:v>25.509623000000001</c:v>
                </c:pt>
                <c:pt idx="10">
                  <c:v>23.373864000000001</c:v>
                </c:pt>
                <c:pt idx="11">
                  <c:v>23.37303</c:v>
                </c:pt>
                <c:pt idx="12">
                  <c:v>23.112043</c:v>
                </c:pt>
                <c:pt idx="13">
                  <c:v>21.166840000000001</c:v>
                </c:pt>
                <c:pt idx="14">
                  <c:v>21.797298999999999</c:v>
                </c:pt>
                <c:pt idx="15">
                  <c:v>25.360617000000001</c:v>
                </c:pt>
                <c:pt idx="16">
                  <c:v>24.580439999999999</c:v>
                </c:pt>
                <c:pt idx="17">
                  <c:v>23.124127999999999</c:v>
                </c:pt>
                <c:pt idx="18">
                  <c:v>24.282502000000001</c:v>
                </c:pt>
                <c:pt idx="19">
                  <c:v>22.609000999999999</c:v>
                </c:pt>
                <c:pt idx="20">
                  <c:v>23.532529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3-4498-B002-3686AA89D807}"/>
            </c:ext>
          </c:extLst>
        </c:ser>
        <c:ser>
          <c:idx val="3"/>
          <c:order val="3"/>
          <c:tx>
            <c:strRef>
              <c:f>Cronologia!$E$2</c:f>
              <c:strCache>
                <c:ptCount val="1"/>
                <c:pt idx="0">
                  <c:v>40-50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Cronologia!$E$3:$E$23</c:f>
              <c:numCache>
                <c:formatCode>General</c:formatCode>
                <c:ptCount val="21"/>
                <c:pt idx="0">
                  <c:v>23.800599999999999</c:v>
                </c:pt>
                <c:pt idx="1">
                  <c:v>23.139122</c:v>
                </c:pt>
                <c:pt idx="2">
                  <c:v>23.106978000000002</c:v>
                </c:pt>
                <c:pt idx="3">
                  <c:v>23.127953999999999</c:v>
                </c:pt>
                <c:pt idx="4">
                  <c:v>23.274449000000001</c:v>
                </c:pt>
                <c:pt idx="5">
                  <c:v>23.660997999999999</c:v>
                </c:pt>
                <c:pt idx="6">
                  <c:v>23.337199999999999</c:v>
                </c:pt>
                <c:pt idx="7">
                  <c:v>24.383853999999999</c:v>
                </c:pt>
                <c:pt idx="8">
                  <c:v>23.564705</c:v>
                </c:pt>
                <c:pt idx="9">
                  <c:v>23.960825</c:v>
                </c:pt>
                <c:pt idx="10">
                  <c:v>23.208594000000002</c:v>
                </c:pt>
                <c:pt idx="11">
                  <c:v>23.252737</c:v>
                </c:pt>
                <c:pt idx="12">
                  <c:v>23.679663999999999</c:v>
                </c:pt>
                <c:pt idx="13">
                  <c:v>24.584199999999999</c:v>
                </c:pt>
                <c:pt idx="14">
                  <c:v>21.885649000000001</c:v>
                </c:pt>
                <c:pt idx="15">
                  <c:v>23.934920999999999</c:v>
                </c:pt>
                <c:pt idx="16">
                  <c:v>23.582176</c:v>
                </c:pt>
                <c:pt idx="17">
                  <c:v>23.277545</c:v>
                </c:pt>
                <c:pt idx="18">
                  <c:v>20.552837</c:v>
                </c:pt>
                <c:pt idx="19">
                  <c:v>21.542428999999998</c:v>
                </c:pt>
                <c:pt idx="20">
                  <c:v>21.054724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3-4498-B002-3686AA89D807}"/>
            </c:ext>
          </c:extLst>
        </c:ser>
        <c:ser>
          <c:idx val="4"/>
          <c:order val="4"/>
          <c:tx>
            <c:strRef>
              <c:f>Cronologia!$F$2</c:f>
              <c:strCache>
                <c:ptCount val="1"/>
                <c:pt idx="0">
                  <c:v>50-60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Cronologia!$F$3:$F$23</c:f>
              <c:numCache>
                <c:formatCode>General</c:formatCode>
                <c:ptCount val="21"/>
                <c:pt idx="0">
                  <c:v>13.043478</c:v>
                </c:pt>
                <c:pt idx="1">
                  <c:v>13.330311</c:v>
                </c:pt>
                <c:pt idx="2">
                  <c:v>14.354927</c:v>
                </c:pt>
                <c:pt idx="3">
                  <c:v>15.225142999999999</c:v>
                </c:pt>
                <c:pt idx="4">
                  <c:v>15.962484</c:v>
                </c:pt>
                <c:pt idx="5">
                  <c:v>15.313267</c:v>
                </c:pt>
                <c:pt idx="6">
                  <c:v>15.322892</c:v>
                </c:pt>
                <c:pt idx="7">
                  <c:v>16.640792000000001</c:v>
                </c:pt>
                <c:pt idx="8">
                  <c:v>16.147718999999999</c:v>
                </c:pt>
                <c:pt idx="9">
                  <c:v>16.137114</c:v>
                </c:pt>
                <c:pt idx="10">
                  <c:v>17.058198999999998</c:v>
                </c:pt>
                <c:pt idx="11">
                  <c:v>17.021533000000002</c:v>
                </c:pt>
                <c:pt idx="12">
                  <c:v>17.287759000000001</c:v>
                </c:pt>
                <c:pt idx="13">
                  <c:v>17.892412</c:v>
                </c:pt>
                <c:pt idx="14">
                  <c:v>19.260380999999999</c:v>
                </c:pt>
                <c:pt idx="15">
                  <c:v>18.517275999999999</c:v>
                </c:pt>
                <c:pt idx="16">
                  <c:v>18.012153000000001</c:v>
                </c:pt>
                <c:pt idx="17">
                  <c:v>18.507670999999998</c:v>
                </c:pt>
                <c:pt idx="18">
                  <c:v>19.798967999999999</c:v>
                </c:pt>
                <c:pt idx="19">
                  <c:v>21.354899</c:v>
                </c:pt>
                <c:pt idx="20">
                  <c:v>20.617463999999998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3-4498-B002-3686AA89D807}"/>
            </c:ext>
          </c:extLst>
        </c:ser>
        <c:ser>
          <c:idx val="5"/>
          <c:order val="5"/>
          <c:tx>
            <c:strRef>
              <c:f>Cronologia!$G$2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Cronologia!$A$3:$A$23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Cronologia!$G$3:$G$23</c:f>
              <c:numCache>
                <c:formatCode>General</c:formatCode>
                <c:ptCount val="21"/>
                <c:pt idx="0">
                  <c:v>5.8920539999999999</c:v>
                </c:pt>
                <c:pt idx="1">
                  <c:v>6.0001509999999998</c:v>
                </c:pt>
                <c:pt idx="2">
                  <c:v>6.8844260000000004</c:v>
                </c:pt>
                <c:pt idx="3">
                  <c:v>6.8579480000000004</c:v>
                </c:pt>
                <c:pt idx="4">
                  <c:v>6.9932619999999996</c:v>
                </c:pt>
                <c:pt idx="5">
                  <c:v>6.6290810000000002</c:v>
                </c:pt>
                <c:pt idx="6">
                  <c:v>6.9895589999999999</c:v>
                </c:pt>
                <c:pt idx="7">
                  <c:v>7.7915780000000003</c:v>
                </c:pt>
                <c:pt idx="8">
                  <c:v>8.3583320000000008</c:v>
                </c:pt>
                <c:pt idx="9">
                  <c:v>8.6208860000000005</c:v>
                </c:pt>
                <c:pt idx="10">
                  <c:v>9.8807700000000001</c:v>
                </c:pt>
                <c:pt idx="11">
                  <c:v>9.6715990000000005</c:v>
                </c:pt>
                <c:pt idx="12">
                  <c:v>10.081441</c:v>
                </c:pt>
                <c:pt idx="13">
                  <c:v>10.693866999999999</c:v>
                </c:pt>
                <c:pt idx="14">
                  <c:v>11.763221</c:v>
                </c:pt>
                <c:pt idx="15">
                  <c:v>11.019792000000001</c:v>
                </c:pt>
                <c:pt idx="16">
                  <c:v>9.9681709999999999</c:v>
                </c:pt>
                <c:pt idx="17">
                  <c:v>10.139469999999999</c:v>
                </c:pt>
                <c:pt idx="18">
                  <c:v>11.942864999999999</c:v>
                </c:pt>
                <c:pt idx="19">
                  <c:v>11.802625000000001</c:v>
                </c:pt>
                <c:pt idx="20">
                  <c:v>12.548031999999999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A3-4498-B002-3686AA89D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18143"/>
        <c:axId val="955619103"/>
      </c:lineChart>
      <c:catAx>
        <c:axId val="95561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19103"/>
        <c:crosses val="autoZero"/>
        <c:auto val="1"/>
        <c:lblAlgn val="ctr"/>
        <c:lblOffset val="100"/>
        <c:noMultiLvlLbl val="0"/>
      </c:catAx>
      <c:valAx>
        <c:axId val="9556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1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Escolaridad</a:t>
            </a:r>
            <a:r>
              <a:rPr lang="es-MX" baseline="0"/>
              <a:t>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Cronologia!$J$2</c:f>
              <c:strCache>
                <c:ptCount val="1"/>
                <c:pt idx="0">
                  <c:v>Basico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Cronologia!$I$3:$I$23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Cronologia!$J$3:$J$23</c:f>
              <c:numCache>
                <c:formatCode>General</c:formatCode>
                <c:ptCount val="21"/>
                <c:pt idx="0">
                  <c:v>49.902549</c:v>
                </c:pt>
                <c:pt idx="1">
                  <c:v>48.439506999999999</c:v>
                </c:pt>
                <c:pt idx="2">
                  <c:v>47.589278999999998</c:v>
                </c:pt>
                <c:pt idx="3">
                  <c:v>47.790031999999997</c:v>
                </c:pt>
                <c:pt idx="4">
                  <c:v>47.750864999999997</c:v>
                </c:pt>
                <c:pt idx="5">
                  <c:v>48.131309000000002</c:v>
                </c:pt>
                <c:pt idx="6">
                  <c:v>48.530549000000001</c:v>
                </c:pt>
                <c:pt idx="7">
                  <c:v>46.943528000000001</c:v>
                </c:pt>
                <c:pt idx="8">
                  <c:v>47.605255</c:v>
                </c:pt>
                <c:pt idx="9">
                  <c:v>50.256234999999997</c:v>
                </c:pt>
                <c:pt idx="10">
                  <c:v>49.415652999999999</c:v>
                </c:pt>
                <c:pt idx="11">
                  <c:v>46.325032999999998</c:v>
                </c:pt>
                <c:pt idx="12">
                  <c:v>44.792695000000002</c:v>
                </c:pt>
                <c:pt idx="13">
                  <c:v>47.362265999999998</c:v>
                </c:pt>
                <c:pt idx="14">
                  <c:v>46.333460000000002</c:v>
                </c:pt>
                <c:pt idx="15">
                  <c:v>43.408251999999997</c:v>
                </c:pt>
                <c:pt idx="16">
                  <c:v>40.523727000000001</c:v>
                </c:pt>
                <c:pt idx="17">
                  <c:v>39.958159000000002</c:v>
                </c:pt>
                <c:pt idx="18">
                  <c:v>40.801481000000003</c:v>
                </c:pt>
                <c:pt idx="19">
                  <c:v>36.673698999999999</c:v>
                </c:pt>
                <c:pt idx="20">
                  <c:v>35.948059000000001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45-4A49-888E-D43AEBEA1D34}"/>
            </c:ext>
          </c:extLst>
        </c:ser>
        <c:ser>
          <c:idx val="1"/>
          <c:order val="1"/>
          <c:tx>
            <c:strRef>
              <c:f>Cronologia!$K$2</c:f>
              <c:strCache>
                <c:ptCount val="1"/>
                <c:pt idx="0">
                  <c:v>Media 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Cronologia!$I$3:$I$23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Cronologia!$K$3:$K$23</c:f>
              <c:numCache>
                <c:formatCode>General</c:formatCode>
                <c:ptCount val="21"/>
                <c:pt idx="0">
                  <c:v>28.260870000000001</c:v>
                </c:pt>
                <c:pt idx="1">
                  <c:v>28.534724000000001</c:v>
                </c:pt>
                <c:pt idx="2">
                  <c:v>29.389700999999999</c:v>
                </c:pt>
                <c:pt idx="3">
                  <c:v>29.446885999999999</c:v>
                </c:pt>
                <c:pt idx="4">
                  <c:v>29.803315000000001</c:v>
                </c:pt>
                <c:pt idx="5">
                  <c:v>30.226424999999999</c:v>
                </c:pt>
                <c:pt idx="6">
                  <c:v>30.191414999999999</c:v>
                </c:pt>
                <c:pt idx="7">
                  <c:v>31.60295</c:v>
                </c:pt>
                <c:pt idx="8">
                  <c:v>30.195509999999999</c:v>
                </c:pt>
                <c:pt idx="9">
                  <c:v>29.689101000000001</c:v>
                </c:pt>
                <c:pt idx="10">
                  <c:v>29.087475000000001</c:v>
                </c:pt>
                <c:pt idx="11">
                  <c:v>30.879346000000002</c:v>
                </c:pt>
                <c:pt idx="12">
                  <c:v>32.132280000000002</c:v>
                </c:pt>
                <c:pt idx="13">
                  <c:v>31.237006000000001</c:v>
                </c:pt>
                <c:pt idx="14">
                  <c:v>32.109050000000003</c:v>
                </c:pt>
                <c:pt idx="15">
                  <c:v>32.053001999999999</c:v>
                </c:pt>
                <c:pt idx="16">
                  <c:v>33.752893999999998</c:v>
                </c:pt>
                <c:pt idx="17">
                  <c:v>32.426777999999999</c:v>
                </c:pt>
                <c:pt idx="18">
                  <c:v>31.887315999999998</c:v>
                </c:pt>
                <c:pt idx="19">
                  <c:v>32.45429</c:v>
                </c:pt>
                <c:pt idx="20">
                  <c:v>33.231748000000003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45-4A49-888E-D43AEBEA1D34}"/>
            </c:ext>
          </c:extLst>
        </c:ser>
        <c:ser>
          <c:idx val="2"/>
          <c:order val="2"/>
          <c:tx>
            <c:strRef>
              <c:f>Cronologia!$L$2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Cronologia!$I$3:$I$23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Cronologia!$L$3:$L$23</c:f>
              <c:numCache>
                <c:formatCode>General</c:formatCode>
                <c:ptCount val="21"/>
                <c:pt idx="0">
                  <c:v>19.805097</c:v>
                </c:pt>
                <c:pt idx="1">
                  <c:v>20.584900999999999</c:v>
                </c:pt>
                <c:pt idx="2">
                  <c:v>20.997108999999998</c:v>
                </c:pt>
                <c:pt idx="3">
                  <c:v>20.548967999999999</c:v>
                </c:pt>
                <c:pt idx="4">
                  <c:v>20.023675000000001</c:v>
                </c:pt>
                <c:pt idx="5">
                  <c:v>19.296171999999999</c:v>
                </c:pt>
                <c:pt idx="6">
                  <c:v>19.209202999999999</c:v>
                </c:pt>
                <c:pt idx="7">
                  <c:v>19.280031000000001</c:v>
                </c:pt>
                <c:pt idx="8">
                  <c:v>19.871728999999998</c:v>
                </c:pt>
                <c:pt idx="9">
                  <c:v>18.084500999999999</c:v>
                </c:pt>
                <c:pt idx="10">
                  <c:v>19.135874999999999</c:v>
                </c:pt>
                <c:pt idx="11">
                  <c:v>20.365691999999999</c:v>
                </c:pt>
                <c:pt idx="12">
                  <c:v>20.841560000000001</c:v>
                </c:pt>
                <c:pt idx="13">
                  <c:v>19.425675999999999</c:v>
                </c:pt>
                <c:pt idx="14">
                  <c:v>19.626404000000001</c:v>
                </c:pt>
                <c:pt idx="15">
                  <c:v>21.502851</c:v>
                </c:pt>
                <c:pt idx="16">
                  <c:v>22.65625</c:v>
                </c:pt>
                <c:pt idx="17">
                  <c:v>24.811715</c:v>
                </c:pt>
                <c:pt idx="18">
                  <c:v>23.965084000000001</c:v>
                </c:pt>
                <c:pt idx="19">
                  <c:v>26.336145999999999</c:v>
                </c:pt>
                <c:pt idx="20">
                  <c:v>26.553597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45-4A49-888E-D43AEBEA1D34}"/>
            </c:ext>
          </c:extLst>
        </c:ser>
        <c:ser>
          <c:idx val="3"/>
          <c:order val="3"/>
          <c:tx>
            <c:strRef>
              <c:f>Cronologia!$M$2</c:f>
              <c:strCache>
                <c:ptCount val="1"/>
                <c:pt idx="0">
                  <c:v>Posgrado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Cronologia!$I$3:$I$23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Cronologia!$M$3:$M$23</c:f>
              <c:numCache>
                <c:formatCode>General</c:formatCode>
                <c:ptCount val="21"/>
                <c:pt idx="0">
                  <c:v>2.0314839999999998</c:v>
                </c:pt>
                <c:pt idx="1">
                  <c:v>2.440868</c:v>
                </c:pt>
                <c:pt idx="2">
                  <c:v>2.0239120000000002</c:v>
                </c:pt>
                <c:pt idx="3">
                  <c:v>2.2141139999999999</c:v>
                </c:pt>
                <c:pt idx="4">
                  <c:v>2.422145</c:v>
                </c:pt>
                <c:pt idx="5">
                  <c:v>2.3460939999999999</c:v>
                </c:pt>
                <c:pt idx="6">
                  <c:v>2.068832</c:v>
                </c:pt>
                <c:pt idx="7">
                  <c:v>2.1734909999999998</c:v>
                </c:pt>
                <c:pt idx="8">
                  <c:v>2.3275060000000001</c:v>
                </c:pt>
                <c:pt idx="9">
                  <c:v>1.9701630000000001</c:v>
                </c:pt>
                <c:pt idx="10">
                  <c:v>2.3609960000000001</c:v>
                </c:pt>
                <c:pt idx="11">
                  <c:v>2.429929</c:v>
                </c:pt>
                <c:pt idx="12">
                  <c:v>2.2334649999999998</c:v>
                </c:pt>
                <c:pt idx="13">
                  <c:v>1.975052</c:v>
                </c:pt>
                <c:pt idx="14">
                  <c:v>1.931087</c:v>
                </c:pt>
                <c:pt idx="15">
                  <c:v>3.0358939999999999</c:v>
                </c:pt>
                <c:pt idx="16">
                  <c:v>3.0671300000000001</c:v>
                </c:pt>
                <c:pt idx="17">
                  <c:v>2.803347</c:v>
                </c:pt>
                <c:pt idx="18">
                  <c:v>3.3461180000000001</c:v>
                </c:pt>
                <c:pt idx="19">
                  <c:v>4.5358650000000003</c:v>
                </c:pt>
                <c:pt idx="20">
                  <c:v>4.2665959999999998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45-4A49-888E-D43AEBEA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81583"/>
        <c:axId val="201771503"/>
      </c:lineChart>
      <c:catAx>
        <c:axId val="20178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771503"/>
        <c:crosses val="autoZero"/>
        <c:auto val="1"/>
        <c:lblAlgn val="ctr"/>
        <c:lblOffset val="100"/>
        <c:noMultiLvlLbl val="0"/>
      </c:catAx>
      <c:valAx>
        <c:axId val="20177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78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Informalidad</a:t>
            </a:r>
            <a:r>
              <a:rPr lang="es-MX" baseline="0"/>
              <a:t>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30076443569553807"/>
          <c:w val="0.90297462817147855"/>
          <c:h val="0.58176691455234764"/>
        </c:manualLayout>
      </c:layout>
      <c:lineChart>
        <c:grouping val="standard"/>
        <c:varyColors val="0"/>
        <c:ser>
          <c:idx val="0"/>
          <c:order val="0"/>
          <c:tx>
            <c:strRef>
              <c:f>Cronologia!$P$2</c:f>
              <c:strCache>
                <c:ptCount val="1"/>
                <c:pt idx="0">
                  <c:v>Informal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Cronologia!$O$3:$O$23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Cronologia!$P$3:$P$23</c:f>
              <c:numCache>
                <c:formatCode>General</c:formatCode>
                <c:ptCount val="21"/>
                <c:pt idx="0">
                  <c:v>51.806596999999996</c:v>
                </c:pt>
                <c:pt idx="1">
                  <c:v>51.296002000000001</c:v>
                </c:pt>
                <c:pt idx="2">
                  <c:v>49.917949999999998</c:v>
                </c:pt>
                <c:pt idx="3">
                  <c:v>50.136826999999997</c:v>
                </c:pt>
                <c:pt idx="4">
                  <c:v>52.513202999999997</c:v>
                </c:pt>
                <c:pt idx="5">
                  <c:v>52.905338</c:v>
                </c:pt>
                <c:pt idx="6">
                  <c:v>54.940061999999998</c:v>
                </c:pt>
                <c:pt idx="7">
                  <c:v>55.802444999999999</c:v>
                </c:pt>
                <c:pt idx="8">
                  <c:v>57.960070000000002</c:v>
                </c:pt>
                <c:pt idx="9">
                  <c:v>59.161827000000002</c:v>
                </c:pt>
                <c:pt idx="10">
                  <c:v>59.320033000000002</c:v>
                </c:pt>
                <c:pt idx="11">
                  <c:v>57.295802000000002</c:v>
                </c:pt>
                <c:pt idx="12">
                  <c:v>57.391412000000003</c:v>
                </c:pt>
                <c:pt idx="13">
                  <c:v>60.459978999999997</c:v>
                </c:pt>
                <c:pt idx="14">
                  <c:v>60.822921000000001</c:v>
                </c:pt>
                <c:pt idx="15">
                  <c:v>55.602147000000002</c:v>
                </c:pt>
                <c:pt idx="16">
                  <c:v>58.072916999999997</c:v>
                </c:pt>
                <c:pt idx="17">
                  <c:v>57.629010000000001</c:v>
                </c:pt>
                <c:pt idx="18">
                  <c:v>57.346912000000003</c:v>
                </c:pt>
                <c:pt idx="19">
                  <c:v>54.899203</c:v>
                </c:pt>
                <c:pt idx="20">
                  <c:v>55.240493000000001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4F-44D2-B3D1-294CB8735F0E}"/>
            </c:ext>
          </c:extLst>
        </c:ser>
        <c:ser>
          <c:idx val="1"/>
          <c:order val="1"/>
          <c:tx>
            <c:strRef>
              <c:f>Cronologia!$Q$2</c:f>
              <c:strCache>
                <c:ptCount val="1"/>
                <c:pt idx="0">
                  <c:v>Formal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Cronologia!$O$3:$O$23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Cronologia!$Q$3:$Q$23</c:f>
              <c:numCache>
                <c:formatCode>General</c:formatCode>
                <c:ptCount val="21"/>
                <c:pt idx="0">
                  <c:v>48.193403000000004</c:v>
                </c:pt>
                <c:pt idx="1">
                  <c:v>48.703997999999999</c:v>
                </c:pt>
                <c:pt idx="2">
                  <c:v>50.082050000000002</c:v>
                </c:pt>
                <c:pt idx="3">
                  <c:v>49.863173000000003</c:v>
                </c:pt>
                <c:pt idx="4">
                  <c:v>47.486797000000003</c:v>
                </c:pt>
                <c:pt idx="5">
                  <c:v>47.094662</c:v>
                </c:pt>
                <c:pt idx="6">
                  <c:v>45.059938000000002</c:v>
                </c:pt>
                <c:pt idx="7">
                  <c:v>44.197555000000001</c:v>
                </c:pt>
                <c:pt idx="8">
                  <c:v>42.039929999999998</c:v>
                </c:pt>
                <c:pt idx="9">
                  <c:v>40.838172999999998</c:v>
                </c:pt>
                <c:pt idx="10">
                  <c:v>40.679966999999998</c:v>
                </c:pt>
                <c:pt idx="11">
                  <c:v>42.704197999999998</c:v>
                </c:pt>
                <c:pt idx="12">
                  <c:v>42.608587999999997</c:v>
                </c:pt>
                <c:pt idx="13">
                  <c:v>39.540021000000003</c:v>
                </c:pt>
                <c:pt idx="14">
                  <c:v>39.177078999999999</c:v>
                </c:pt>
                <c:pt idx="15">
                  <c:v>44.397852999999998</c:v>
                </c:pt>
                <c:pt idx="16">
                  <c:v>41.927083000000003</c:v>
                </c:pt>
                <c:pt idx="17">
                  <c:v>42.370989999999999</c:v>
                </c:pt>
                <c:pt idx="18">
                  <c:v>42.653087999999997</c:v>
                </c:pt>
                <c:pt idx="19">
                  <c:v>45.100797</c:v>
                </c:pt>
                <c:pt idx="20">
                  <c:v>44.759506999999999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4F-44D2-B3D1-294CB8735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596063"/>
        <c:axId val="955587903"/>
      </c:lineChart>
      <c:catAx>
        <c:axId val="95559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587903"/>
        <c:crosses val="autoZero"/>
        <c:auto val="1"/>
        <c:lblAlgn val="ctr"/>
        <c:lblOffset val="100"/>
        <c:noMultiLvlLbl val="0"/>
      </c:catAx>
      <c:valAx>
        <c:axId val="9555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59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Edad</a:t>
            </a:r>
            <a:r>
              <a:rPr lang="es-MX" baseline="0"/>
              <a:t> Chiapas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Cronologia!$T$2</c:f>
              <c:strCache>
                <c:ptCount val="1"/>
                <c:pt idx="0">
                  <c:v>15-20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Cronologia!$T$3:$T$23</c:f>
              <c:numCache>
                <c:formatCode>General</c:formatCode>
                <c:ptCount val="21"/>
                <c:pt idx="0">
                  <c:v>7.0831679999999997</c:v>
                </c:pt>
                <c:pt idx="1">
                  <c:v>7.1452270000000002</c:v>
                </c:pt>
                <c:pt idx="2">
                  <c:v>7.1735540000000002</c:v>
                </c:pt>
                <c:pt idx="3">
                  <c:v>6.7276030000000002</c:v>
                </c:pt>
                <c:pt idx="4">
                  <c:v>6.8264719999999999</c:v>
                </c:pt>
                <c:pt idx="5">
                  <c:v>6.5347759999999999</c:v>
                </c:pt>
                <c:pt idx="6">
                  <c:v>6.1480629999999996</c:v>
                </c:pt>
                <c:pt idx="7">
                  <c:v>5.6319369999999997</c:v>
                </c:pt>
                <c:pt idx="8">
                  <c:v>5.5530499999999998</c:v>
                </c:pt>
                <c:pt idx="9">
                  <c:v>5.0387849999999998</c:v>
                </c:pt>
                <c:pt idx="10">
                  <c:v>5.1947229999999998</c:v>
                </c:pt>
                <c:pt idx="11">
                  <c:v>4.8764630000000002</c:v>
                </c:pt>
                <c:pt idx="12">
                  <c:v>4.8809760000000004</c:v>
                </c:pt>
                <c:pt idx="13">
                  <c:v>4.3214399999999999</c:v>
                </c:pt>
                <c:pt idx="14">
                  <c:v>5.2721410000000004</c:v>
                </c:pt>
                <c:pt idx="15">
                  <c:v>4.5791110000000002</c:v>
                </c:pt>
                <c:pt idx="16">
                  <c:v>4.594258</c:v>
                </c:pt>
                <c:pt idx="17">
                  <c:v>4.8066630000000004</c:v>
                </c:pt>
                <c:pt idx="18">
                  <c:v>4.7745600000000001</c:v>
                </c:pt>
                <c:pt idx="19">
                  <c:v>4.9345080000000001</c:v>
                </c:pt>
                <c:pt idx="20">
                  <c:v>5.1047120000000001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D-40B9-8D68-C813EF674F16}"/>
            </c:ext>
          </c:extLst>
        </c:ser>
        <c:ser>
          <c:idx val="1"/>
          <c:order val="1"/>
          <c:tx>
            <c:strRef>
              <c:f>Cronologia!$U$2</c:f>
              <c:strCache>
                <c:ptCount val="1"/>
                <c:pt idx="0">
                  <c:v>20-30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Cronologia!$U$3:$U$23</c:f>
              <c:numCache>
                <c:formatCode>General</c:formatCode>
                <c:ptCount val="21"/>
                <c:pt idx="0">
                  <c:v>29.931025000000002</c:v>
                </c:pt>
                <c:pt idx="1">
                  <c:v>29.350494000000001</c:v>
                </c:pt>
                <c:pt idx="2">
                  <c:v>28.178512000000001</c:v>
                </c:pt>
                <c:pt idx="3">
                  <c:v>28.227703000000002</c:v>
                </c:pt>
                <c:pt idx="4">
                  <c:v>27.651119999999999</c:v>
                </c:pt>
                <c:pt idx="5">
                  <c:v>28.377124999999999</c:v>
                </c:pt>
                <c:pt idx="6">
                  <c:v>27.643986000000002</c:v>
                </c:pt>
                <c:pt idx="7">
                  <c:v>27.358729</c:v>
                </c:pt>
                <c:pt idx="8">
                  <c:v>26.670102</c:v>
                </c:pt>
                <c:pt idx="9">
                  <c:v>25.42859</c:v>
                </c:pt>
                <c:pt idx="10">
                  <c:v>26.093543</c:v>
                </c:pt>
                <c:pt idx="11">
                  <c:v>26.319896</c:v>
                </c:pt>
                <c:pt idx="12">
                  <c:v>25.885176999999999</c:v>
                </c:pt>
                <c:pt idx="13">
                  <c:v>24.914971999999999</c:v>
                </c:pt>
                <c:pt idx="14">
                  <c:v>23.414881000000001</c:v>
                </c:pt>
                <c:pt idx="15">
                  <c:v>24.727201999999998</c:v>
                </c:pt>
                <c:pt idx="16">
                  <c:v>23.657896000000001</c:v>
                </c:pt>
                <c:pt idx="17">
                  <c:v>22.051091</c:v>
                </c:pt>
                <c:pt idx="18">
                  <c:v>21.417954000000002</c:v>
                </c:pt>
                <c:pt idx="19">
                  <c:v>21.319362000000002</c:v>
                </c:pt>
                <c:pt idx="20">
                  <c:v>20.811518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D-40B9-8D68-C813EF674F16}"/>
            </c:ext>
          </c:extLst>
        </c:ser>
        <c:ser>
          <c:idx val="2"/>
          <c:order val="2"/>
          <c:tx>
            <c:strRef>
              <c:f>Cronologia!$V$2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Cronologia!$V$3:$V$23</c:f>
              <c:numCache>
                <c:formatCode>General</c:formatCode>
                <c:ptCount val="21"/>
                <c:pt idx="0">
                  <c:v>28.995888000000001</c:v>
                </c:pt>
                <c:pt idx="1">
                  <c:v>28.640616000000001</c:v>
                </c:pt>
                <c:pt idx="2">
                  <c:v>28.112397000000001</c:v>
                </c:pt>
                <c:pt idx="3">
                  <c:v>27.306943</c:v>
                </c:pt>
                <c:pt idx="4">
                  <c:v>27.657634000000002</c:v>
                </c:pt>
                <c:pt idx="5">
                  <c:v>26.392581</c:v>
                </c:pt>
                <c:pt idx="6">
                  <c:v>26.898572999999999</c:v>
                </c:pt>
                <c:pt idx="7">
                  <c:v>27.377649000000002</c:v>
                </c:pt>
                <c:pt idx="8">
                  <c:v>27.133929999999999</c:v>
                </c:pt>
                <c:pt idx="9">
                  <c:v>27.638355000000001</c:v>
                </c:pt>
                <c:pt idx="10">
                  <c:v>27.198132000000001</c:v>
                </c:pt>
                <c:pt idx="11">
                  <c:v>26.378413999999999</c:v>
                </c:pt>
                <c:pt idx="12">
                  <c:v>27.418817000000001</c:v>
                </c:pt>
                <c:pt idx="13">
                  <c:v>27.489163000000001</c:v>
                </c:pt>
                <c:pt idx="14">
                  <c:v>25.918199999999999</c:v>
                </c:pt>
                <c:pt idx="15">
                  <c:v>25.584567</c:v>
                </c:pt>
                <c:pt idx="16">
                  <c:v>26.026450000000001</c:v>
                </c:pt>
                <c:pt idx="17">
                  <c:v>26.406403000000001</c:v>
                </c:pt>
                <c:pt idx="18">
                  <c:v>25.530381999999999</c:v>
                </c:pt>
                <c:pt idx="19">
                  <c:v>25.363181999999998</c:v>
                </c:pt>
                <c:pt idx="20">
                  <c:v>25.805477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AD-40B9-8D68-C813EF674F16}"/>
            </c:ext>
          </c:extLst>
        </c:ser>
        <c:ser>
          <c:idx val="3"/>
          <c:order val="3"/>
          <c:tx>
            <c:strRef>
              <c:f>Cronologia!$W$2</c:f>
              <c:strCache>
                <c:ptCount val="1"/>
                <c:pt idx="0">
                  <c:v>40-50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Cronologia!$W$3:$W$23</c:f>
              <c:numCache>
                <c:formatCode>General</c:formatCode>
                <c:ptCount val="21"/>
                <c:pt idx="0">
                  <c:v>20.486802000000001</c:v>
                </c:pt>
                <c:pt idx="1">
                  <c:v>20.513501000000002</c:v>
                </c:pt>
                <c:pt idx="2">
                  <c:v>21.666115999999999</c:v>
                </c:pt>
                <c:pt idx="3">
                  <c:v>22.830835</c:v>
                </c:pt>
                <c:pt idx="4">
                  <c:v>22.466128000000001</c:v>
                </c:pt>
                <c:pt idx="5">
                  <c:v>22.819165000000002</c:v>
                </c:pt>
                <c:pt idx="6">
                  <c:v>22.833843000000002</c:v>
                </c:pt>
                <c:pt idx="7">
                  <c:v>22.723258999999999</c:v>
                </c:pt>
                <c:pt idx="8">
                  <c:v>22.431231</c:v>
                </c:pt>
                <c:pt idx="9">
                  <c:v>23.473046</c:v>
                </c:pt>
                <c:pt idx="10">
                  <c:v>23.007006000000001</c:v>
                </c:pt>
                <c:pt idx="11">
                  <c:v>23.634589999999999</c:v>
                </c:pt>
                <c:pt idx="12">
                  <c:v>22.857904999999999</c:v>
                </c:pt>
                <c:pt idx="13">
                  <c:v>22.834278000000001</c:v>
                </c:pt>
                <c:pt idx="14">
                  <c:v>23.206271000000001</c:v>
                </c:pt>
                <c:pt idx="15">
                  <c:v>23.090413000000002</c:v>
                </c:pt>
                <c:pt idx="16">
                  <c:v>22.865306</c:v>
                </c:pt>
                <c:pt idx="17">
                  <c:v>23.200409000000001</c:v>
                </c:pt>
                <c:pt idx="18">
                  <c:v>23.543984999999999</c:v>
                </c:pt>
                <c:pt idx="19">
                  <c:v>23.019767000000002</c:v>
                </c:pt>
                <c:pt idx="20">
                  <c:v>22.346958999999998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AD-40B9-8D68-C813EF674F16}"/>
            </c:ext>
          </c:extLst>
        </c:ser>
        <c:ser>
          <c:idx val="4"/>
          <c:order val="4"/>
          <c:tx>
            <c:strRef>
              <c:f>Cronologia!$X$2</c:f>
              <c:strCache>
                <c:ptCount val="1"/>
                <c:pt idx="0">
                  <c:v>50-60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Cronologia!$X$3:$X$23</c:f>
              <c:numCache>
                <c:formatCode>General</c:formatCode>
                <c:ptCount val="21"/>
                <c:pt idx="0">
                  <c:v>9.9681660000000001</c:v>
                </c:pt>
                <c:pt idx="1">
                  <c:v>10.289922000000001</c:v>
                </c:pt>
                <c:pt idx="2">
                  <c:v>10.300826000000001</c:v>
                </c:pt>
                <c:pt idx="3">
                  <c:v>10.303112</c:v>
                </c:pt>
                <c:pt idx="4">
                  <c:v>10.99531</c:v>
                </c:pt>
                <c:pt idx="5">
                  <c:v>11.233385</c:v>
                </c:pt>
                <c:pt idx="6">
                  <c:v>11.697248</c:v>
                </c:pt>
                <c:pt idx="7">
                  <c:v>11.957618999999999</c:v>
                </c:pt>
                <c:pt idx="8">
                  <c:v>13.019391000000001</c:v>
                </c:pt>
                <c:pt idx="9">
                  <c:v>12.945701</c:v>
                </c:pt>
                <c:pt idx="10">
                  <c:v>12.901597000000001</c:v>
                </c:pt>
                <c:pt idx="11">
                  <c:v>13.348504999999999</c:v>
                </c:pt>
                <c:pt idx="12">
                  <c:v>13.129293000000001</c:v>
                </c:pt>
                <c:pt idx="13">
                  <c:v>14.464822</c:v>
                </c:pt>
                <c:pt idx="14">
                  <c:v>14.861875</c:v>
                </c:pt>
                <c:pt idx="15">
                  <c:v>14.848012000000001</c:v>
                </c:pt>
                <c:pt idx="16">
                  <c:v>15.496981999999999</c:v>
                </c:pt>
                <c:pt idx="17">
                  <c:v>15.727513999999999</c:v>
                </c:pt>
                <c:pt idx="18">
                  <c:v>16.215485999999999</c:v>
                </c:pt>
                <c:pt idx="19">
                  <c:v>16.723029</c:v>
                </c:pt>
                <c:pt idx="20">
                  <c:v>17.297623999999999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AD-40B9-8D68-C813EF674F16}"/>
            </c:ext>
          </c:extLst>
        </c:ser>
        <c:ser>
          <c:idx val="5"/>
          <c:order val="5"/>
          <c:tx>
            <c:strRef>
              <c:f>Cronologia!$Y$2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Cronologia!$S$3:$S$23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Cronologia!$Y$3:$Y$23</c:f>
              <c:numCache>
                <c:formatCode>General</c:formatCode>
                <c:ptCount val="21"/>
                <c:pt idx="0">
                  <c:v>3.5349520000000001</c:v>
                </c:pt>
                <c:pt idx="1">
                  <c:v>4.0602400000000003</c:v>
                </c:pt>
                <c:pt idx="2">
                  <c:v>4.5685950000000002</c:v>
                </c:pt>
                <c:pt idx="3">
                  <c:v>4.6038040000000002</c:v>
                </c:pt>
                <c:pt idx="4">
                  <c:v>4.4033350000000002</c:v>
                </c:pt>
                <c:pt idx="5">
                  <c:v>4.6429679999999998</c:v>
                </c:pt>
                <c:pt idx="6">
                  <c:v>4.7782869999999997</c:v>
                </c:pt>
                <c:pt idx="7">
                  <c:v>4.9508070000000002</c:v>
                </c:pt>
                <c:pt idx="8">
                  <c:v>5.1922949999999997</c:v>
                </c:pt>
                <c:pt idx="9">
                  <c:v>5.4755229999999999</c:v>
                </c:pt>
                <c:pt idx="10">
                  <c:v>5.6049990000000003</c:v>
                </c:pt>
                <c:pt idx="11">
                  <c:v>5.4421330000000001</c:v>
                </c:pt>
                <c:pt idx="12">
                  <c:v>5.8278319999999999</c:v>
                </c:pt>
                <c:pt idx="13">
                  <c:v>5.9753249999999998</c:v>
                </c:pt>
                <c:pt idx="14">
                  <c:v>7.3266330000000002</c:v>
                </c:pt>
                <c:pt idx="15">
                  <c:v>7.1706940000000001</c:v>
                </c:pt>
                <c:pt idx="16">
                  <c:v>7.359108</c:v>
                </c:pt>
                <c:pt idx="17">
                  <c:v>7.8079200000000002</c:v>
                </c:pt>
                <c:pt idx="18">
                  <c:v>8.5176339999999993</c:v>
                </c:pt>
                <c:pt idx="19">
                  <c:v>8.6401520000000005</c:v>
                </c:pt>
                <c:pt idx="20">
                  <c:v>8.6337089999999996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AD-40B9-8D68-C813EF674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01263"/>
        <c:axId val="201818063"/>
      </c:lineChart>
      <c:catAx>
        <c:axId val="20180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818063"/>
        <c:crosses val="autoZero"/>
        <c:auto val="1"/>
        <c:lblAlgn val="ctr"/>
        <c:lblOffset val="100"/>
        <c:noMultiLvlLbl val="0"/>
      </c:catAx>
      <c:valAx>
        <c:axId val="2018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80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Escolaridad</a:t>
            </a:r>
            <a:r>
              <a:rPr lang="es-MX" baseline="0"/>
              <a:t> Chiapas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Cronologia!$AB$2</c:f>
              <c:strCache>
                <c:ptCount val="1"/>
                <c:pt idx="0">
                  <c:v>Basico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Cronologia!$AA$3:$AA$23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Cronologia!$AB$3:$AB$23</c:f>
              <c:numCache>
                <c:formatCode>General</c:formatCode>
                <c:ptCount val="21"/>
                <c:pt idx="0">
                  <c:v>53.070698999999998</c:v>
                </c:pt>
                <c:pt idx="1">
                  <c:v>52.816293999999999</c:v>
                </c:pt>
                <c:pt idx="2">
                  <c:v>52.528925999999998</c:v>
                </c:pt>
                <c:pt idx="3">
                  <c:v>50.104174</c:v>
                </c:pt>
                <c:pt idx="4">
                  <c:v>50.657895000000003</c:v>
                </c:pt>
                <c:pt idx="5">
                  <c:v>48.612056000000003</c:v>
                </c:pt>
                <c:pt idx="6">
                  <c:v>48.668450999999997</c:v>
                </c:pt>
                <c:pt idx="7">
                  <c:v>46.865540000000003</c:v>
                </c:pt>
                <c:pt idx="8">
                  <c:v>47.452168</c:v>
                </c:pt>
                <c:pt idx="9">
                  <c:v>47.663125000000001</c:v>
                </c:pt>
                <c:pt idx="10">
                  <c:v>47.516252999999999</c:v>
                </c:pt>
                <c:pt idx="11">
                  <c:v>48.036411000000001</c:v>
                </c:pt>
                <c:pt idx="12">
                  <c:v>46.415950000000002</c:v>
                </c:pt>
                <c:pt idx="13">
                  <c:v>43.574525000000001</c:v>
                </c:pt>
                <c:pt idx="14">
                  <c:v>44.478158999999998</c:v>
                </c:pt>
                <c:pt idx="15">
                  <c:v>42.296700000000001</c:v>
                </c:pt>
                <c:pt idx="16">
                  <c:v>41.113312999999998</c:v>
                </c:pt>
                <c:pt idx="17">
                  <c:v>40.016750999999999</c:v>
                </c:pt>
                <c:pt idx="18">
                  <c:v>40.723390999999999</c:v>
                </c:pt>
                <c:pt idx="19">
                  <c:v>41.690879000000002</c:v>
                </c:pt>
                <c:pt idx="20">
                  <c:v>42.982280000000003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7-412C-A1BE-36C0B0A5DB77}"/>
            </c:ext>
          </c:extLst>
        </c:ser>
        <c:ser>
          <c:idx val="1"/>
          <c:order val="1"/>
          <c:tx>
            <c:strRef>
              <c:f>Cronologia!$AC$2</c:f>
              <c:strCache>
                <c:ptCount val="1"/>
                <c:pt idx="0">
                  <c:v>Media 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Cronologia!$AA$3:$AA$23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Cronologia!$AC$3:$AC$23</c:f>
              <c:numCache>
                <c:formatCode>General</c:formatCode>
                <c:ptCount val="21"/>
                <c:pt idx="0">
                  <c:v>23.358536000000001</c:v>
                </c:pt>
                <c:pt idx="1">
                  <c:v>23.034565000000001</c:v>
                </c:pt>
                <c:pt idx="2">
                  <c:v>22.928926000000001</c:v>
                </c:pt>
                <c:pt idx="3">
                  <c:v>23.059345</c:v>
                </c:pt>
                <c:pt idx="4">
                  <c:v>23.488796000000001</c:v>
                </c:pt>
                <c:pt idx="5">
                  <c:v>24.006181999999999</c:v>
                </c:pt>
                <c:pt idx="6">
                  <c:v>23.923293000000001</c:v>
                </c:pt>
                <c:pt idx="7">
                  <c:v>24.205348000000001</c:v>
                </c:pt>
                <c:pt idx="8">
                  <c:v>25.033821</c:v>
                </c:pt>
                <c:pt idx="9">
                  <c:v>24.581188000000001</c:v>
                </c:pt>
                <c:pt idx="10">
                  <c:v>23.480401000000001</c:v>
                </c:pt>
                <c:pt idx="11">
                  <c:v>24.154745999999999</c:v>
                </c:pt>
                <c:pt idx="12">
                  <c:v>24.684937000000001</c:v>
                </c:pt>
                <c:pt idx="13">
                  <c:v>24.708235999999999</c:v>
                </c:pt>
                <c:pt idx="14">
                  <c:v>25.178583</c:v>
                </c:pt>
                <c:pt idx="15">
                  <c:v>25.935307999999999</c:v>
                </c:pt>
                <c:pt idx="16">
                  <c:v>25.505737</c:v>
                </c:pt>
                <c:pt idx="17">
                  <c:v>25.992276</c:v>
                </c:pt>
                <c:pt idx="18">
                  <c:v>25.570920000000001</c:v>
                </c:pt>
                <c:pt idx="19">
                  <c:v>24.95356</c:v>
                </c:pt>
                <c:pt idx="20">
                  <c:v>26.897905999999999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7-412C-A1BE-36C0B0A5DB77}"/>
            </c:ext>
          </c:extLst>
        </c:ser>
        <c:ser>
          <c:idx val="2"/>
          <c:order val="2"/>
          <c:tx>
            <c:strRef>
              <c:f>Cronologia!$AD$2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Cronologia!$AA$3:$AA$23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Cronologia!$AD$3:$AD$23</c:f>
              <c:numCache>
                <c:formatCode>General</c:formatCode>
                <c:ptCount val="21"/>
                <c:pt idx="0">
                  <c:v>21.680593999999999</c:v>
                </c:pt>
                <c:pt idx="1">
                  <c:v>21.992968000000001</c:v>
                </c:pt>
                <c:pt idx="2">
                  <c:v>22.61157</c:v>
                </c:pt>
                <c:pt idx="3">
                  <c:v>24.329592000000002</c:v>
                </c:pt>
                <c:pt idx="4">
                  <c:v>23.071912000000001</c:v>
                </c:pt>
                <c:pt idx="5">
                  <c:v>24.642968</c:v>
                </c:pt>
                <c:pt idx="6">
                  <c:v>24.713303</c:v>
                </c:pt>
                <c:pt idx="7">
                  <c:v>26.128910000000001</c:v>
                </c:pt>
                <c:pt idx="8">
                  <c:v>24.653739999999999</c:v>
                </c:pt>
                <c:pt idx="9">
                  <c:v>25.070074000000002</c:v>
                </c:pt>
                <c:pt idx="10">
                  <c:v>26.497506999999999</c:v>
                </c:pt>
                <c:pt idx="11">
                  <c:v>24.856957000000001</c:v>
                </c:pt>
                <c:pt idx="12">
                  <c:v>25.951857</c:v>
                </c:pt>
                <c:pt idx="13">
                  <c:v>28.389462999999999</c:v>
                </c:pt>
                <c:pt idx="14">
                  <c:v>27.068715000000001</c:v>
                </c:pt>
                <c:pt idx="15">
                  <c:v>28.474928999999999</c:v>
                </c:pt>
                <c:pt idx="16">
                  <c:v>29.477903999999999</c:v>
                </c:pt>
                <c:pt idx="17">
                  <c:v>29.896235999999998</c:v>
                </c:pt>
                <c:pt idx="18">
                  <c:v>29.899553999999998</c:v>
                </c:pt>
                <c:pt idx="19">
                  <c:v>29.892831999999999</c:v>
                </c:pt>
                <c:pt idx="20">
                  <c:v>27.285542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7-412C-A1BE-36C0B0A5DB77}"/>
            </c:ext>
          </c:extLst>
        </c:ser>
        <c:ser>
          <c:idx val="3"/>
          <c:order val="3"/>
          <c:tx>
            <c:strRef>
              <c:f>Cronologia!$AE$2</c:f>
              <c:strCache>
                <c:ptCount val="1"/>
                <c:pt idx="0">
                  <c:v>Posgrado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Cronologia!$AA$3:$AA$23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Cronologia!$AE$3:$AE$23</c:f>
              <c:numCache>
                <c:formatCode>General</c:formatCode>
                <c:ptCount val="21"/>
                <c:pt idx="0">
                  <c:v>1.890171</c:v>
                </c:pt>
                <c:pt idx="1">
                  <c:v>2.1561729999999999</c:v>
                </c:pt>
                <c:pt idx="2">
                  <c:v>1.930579</c:v>
                </c:pt>
                <c:pt idx="3">
                  <c:v>2.5068890000000001</c:v>
                </c:pt>
                <c:pt idx="4">
                  <c:v>2.7813970000000001</c:v>
                </c:pt>
                <c:pt idx="5">
                  <c:v>2.738794</c:v>
                </c:pt>
                <c:pt idx="6">
                  <c:v>2.6949540000000001</c:v>
                </c:pt>
                <c:pt idx="7">
                  <c:v>2.8002020000000001</c:v>
                </c:pt>
                <c:pt idx="8">
                  <c:v>2.8602720000000001</c:v>
                </c:pt>
                <c:pt idx="9">
                  <c:v>2.6856140000000002</c:v>
                </c:pt>
                <c:pt idx="10">
                  <c:v>2.5058389999999999</c:v>
                </c:pt>
                <c:pt idx="11">
                  <c:v>2.951886</c:v>
                </c:pt>
                <c:pt idx="12">
                  <c:v>2.9472559999999999</c:v>
                </c:pt>
                <c:pt idx="13">
                  <c:v>3.3277760000000001</c:v>
                </c:pt>
                <c:pt idx="14">
                  <c:v>3.274543</c:v>
                </c:pt>
                <c:pt idx="15">
                  <c:v>3.2930630000000001</c:v>
                </c:pt>
                <c:pt idx="16">
                  <c:v>3.9030459999999998</c:v>
                </c:pt>
                <c:pt idx="17">
                  <c:v>4.0947370000000003</c:v>
                </c:pt>
                <c:pt idx="18">
                  <c:v>3.8061349999999998</c:v>
                </c:pt>
                <c:pt idx="19">
                  <c:v>3.4627289999999999</c:v>
                </c:pt>
                <c:pt idx="20">
                  <c:v>2.834273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97-412C-A1BE-36C0B0A5D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10943"/>
        <c:axId val="955611903"/>
      </c:lineChart>
      <c:catAx>
        <c:axId val="95561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11903"/>
        <c:crosses val="autoZero"/>
        <c:auto val="1"/>
        <c:lblAlgn val="ctr"/>
        <c:lblOffset val="100"/>
        <c:noMultiLvlLbl val="0"/>
      </c:catAx>
      <c:valAx>
        <c:axId val="9556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1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Informalidad</a:t>
            </a:r>
            <a:r>
              <a:rPr lang="es-MX" baseline="0"/>
              <a:t> Chiapas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Cronologia!$AH$2</c:f>
              <c:strCache>
                <c:ptCount val="1"/>
                <c:pt idx="0">
                  <c:v>Informal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Cronologia!$AG$3:$AG$23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Cronologia!$AH$3:$AH$23</c:f>
              <c:numCache>
                <c:formatCode>General</c:formatCode>
                <c:ptCount val="21"/>
                <c:pt idx="0">
                  <c:v>55.445019000000002</c:v>
                </c:pt>
                <c:pt idx="1">
                  <c:v>54.441716999999997</c:v>
                </c:pt>
                <c:pt idx="2">
                  <c:v>54.188429999999997</c:v>
                </c:pt>
                <c:pt idx="3">
                  <c:v>54.177028</c:v>
                </c:pt>
                <c:pt idx="4">
                  <c:v>54.344710999999997</c:v>
                </c:pt>
                <c:pt idx="5">
                  <c:v>52.989181000000002</c:v>
                </c:pt>
                <c:pt idx="6">
                  <c:v>53.472222000000002</c:v>
                </c:pt>
                <c:pt idx="7">
                  <c:v>53.481332000000002</c:v>
                </c:pt>
                <c:pt idx="8">
                  <c:v>55.582039999999999</c:v>
                </c:pt>
                <c:pt idx="9">
                  <c:v>55.478782000000002</c:v>
                </c:pt>
                <c:pt idx="10">
                  <c:v>56.611753</c:v>
                </c:pt>
                <c:pt idx="11">
                  <c:v>57.288687000000003</c:v>
                </c:pt>
                <c:pt idx="12">
                  <c:v>58.044941999999999</c:v>
                </c:pt>
                <c:pt idx="13">
                  <c:v>55.725242000000001</c:v>
                </c:pt>
                <c:pt idx="14">
                  <c:v>55.989632999999998</c:v>
                </c:pt>
                <c:pt idx="15">
                  <c:v>55.514418999999997</c:v>
                </c:pt>
                <c:pt idx="16">
                  <c:v>57.306114999999998</c:v>
                </c:pt>
                <c:pt idx="17">
                  <c:v>56.563212999999998</c:v>
                </c:pt>
                <c:pt idx="18">
                  <c:v>57.168596000000001</c:v>
                </c:pt>
                <c:pt idx="19">
                  <c:v>59.085496999999997</c:v>
                </c:pt>
                <c:pt idx="20">
                  <c:v>62.666130000000003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C-4776-9717-1EB118FD8C80}"/>
            </c:ext>
          </c:extLst>
        </c:ser>
        <c:ser>
          <c:idx val="1"/>
          <c:order val="1"/>
          <c:tx>
            <c:strRef>
              <c:f>Cronologia!$AI$2</c:f>
              <c:strCache>
                <c:ptCount val="1"/>
                <c:pt idx="0">
                  <c:v>Formal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Cronologia!$AG$3:$AG$23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Cronologia!$AI$3:$AI$23</c:f>
              <c:numCache>
                <c:formatCode>General</c:formatCode>
                <c:ptCount val="21"/>
                <c:pt idx="0">
                  <c:v>44.554980999999998</c:v>
                </c:pt>
                <c:pt idx="1">
                  <c:v>45.558283000000003</c:v>
                </c:pt>
                <c:pt idx="2">
                  <c:v>45.811570000000003</c:v>
                </c:pt>
                <c:pt idx="3">
                  <c:v>45.822972</c:v>
                </c:pt>
                <c:pt idx="4">
                  <c:v>45.655289000000003</c:v>
                </c:pt>
                <c:pt idx="5">
                  <c:v>47.010818999999998</c:v>
                </c:pt>
                <c:pt idx="6">
                  <c:v>46.527777999999998</c:v>
                </c:pt>
                <c:pt idx="7">
                  <c:v>46.518667999999998</c:v>
                </c:pt>
                <c:pt idx="8">
                  <c:v>44.417960000000001</c:v>
                </c:pt>
                <c:pt idx="9">
                  <c:v>44.521217999999998</c:v>
                </c:pt>
                <c:pt idx="10">
                  <c:v>43.388247</c:v>
                </c:pt>
                <c:pt idx="11">
                  <c:v>42.711312999999997</c:v>
                </c:pt>
                <c:pt idx="12">
                  <c:v>41.955058000000001</c:v>
                </c:pt>
                <c:pt idx="13">
                  <c:v>44.274757999999999</c:v>
                </c:pt>
                <c:pt idx="14">
                  <c:v>44.010367000000002</c:v>
                </c:pt>
                <c:pt idx="15">
                  <c:v>44.485581000000003</c:v>
                </c:pt>
                <c:pt idx="16">
                  <c:v>42.693885000000002</c:v>
                </c:pt>
                <c:pt idx="17">
                  <c:v>43.436787000000002</c:v>
                </c:pt>
                <c:pt idx="18">
                  <c:v>42.831403999999999</c:v>
                </c:pt>
                <c:pt idx="19">
                  <c:v>40.914503000000003</c:v>
                </c:pt>
                <c:pt idx="20">
                  <c:v>37.333869999999997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C-4776-9717-1EB118FD8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01343"/>
        <c:axId val="955590303"/>
      </c:lineChart>
      <c:catAx>
        <c:axId val="95560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590303"/>
        <c:crosses val="autoZero"/>
        <c:auto val="1"/>
        <c:lblAlgn val="ctr"/>
        <c:lblOffset val="100"/>
        <c:noMultiLvlLbl val="0"/>
      </c:catAx>
      <c:valAx>
        <c:axId val="9555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0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Edad</a:t>
            </a:r>
            <a:r>
              <a:rPr lang="es-MX" baseline="0"/>
              <a:t> Coahuila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Cronologia!$AL$2</c:f>
              <c:strCache>
                <c:ptCount val="1"/>
                <c:pt idx="0">
                  <c:v>15-20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Cronologia!$AL$3:$AL$23</c:f>
              <c:numCache>
                <c:formatCode>General</c:formatCode>
                <c:ptCount val="21"/>
                <c:pt idx="0">
                  <c:v>6.3765510000000001</c:v>
                </c:pt>
                <c:pt idx="1">
                  <c:v>7.2565280000000003</c:v>
                </c:pt>
                <c:pt idx="2">
                  <c:v>7.181991</c:v>
                </c:pt>
                <c:pt idx="3">
                  <c:v>7.0021880000000003</c:v>
                </c:pt>
                <c:pt idx="4">
                  <c:v>6.1167189999999998</c:v>
                </c:pt>
                <c:pt idx="5">
                  <c:v>6.2673819999999996</c:v>
                </c:pt>
                <c:pt idx="6">
                  <c:v>6.4809989999999997</c:v>
                </c:pt>
                <c:pt idx="7">
                  <c:v>6.538462</c:v>
                </c:pt>
                <c:pt idx="8">
                  <c:v>6.3125429999999998</c:v>
                </c:pt>
                <c:pt idx="9">
                  <c:v>6.1241919999999999</c:v>
                </c:pt>
                <c:pt idx="10">
                  <c:v>5.9869269999999997</c:v>
                </c:pt>
                <c:pt idx="11">
                  <c:v>5.9449430000000003</c:v>
                </c:pt>
                <c:pt idx="12">
                  <c:v>5.821625</c:v>
                </c:pt>
                <c:pt idx="13">
                  <c:v>6.486802</c:v>
                </c:pt>
                <c:pt idx="14">
                  <c:v>5.6494920000000004</c:v>
                </c:pt>
                <c:pt idx="15">
                  <c:v>4.8933160000000004</c:v>
                </c:pt>
                <c:pt idx="16">
                  <c:v>5.1565799999999999</c:v>
                </c:pt>
                <c:pt idx="17">
                  <c:v>4.8781600000000003</c:v>
                </c:pt>
                <c:pt idx="18">
                  <c:v>5.0644099999999996</c:v>
                </c:pt>
                <c:pt idx="19">
                  <c:v>4.8573219999999999</c:v>
                </c:pt>
                <c:pt idx="20">
                  <c:v>4.5030900000000003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F-4DE0-98D2-D6084A64B8AE}"/>
            </c:ext>
          </c:extLst>
        </c:ser>
        <c:ser>
          <c:idx val="1"/>
          <c:order val="1"/>
          <c:tx>
            <c:strRef>
              <c:f>Cronologia!$AM$2</c:f>
              <c:strCache>
                <c:ptCount val="1"/>
                <c:pt idx="0">
                  <c:v>20-30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Cronologia!$AM$3:$AM$23</c:f>
              <c:numCache>
                <c:formatCode>General</c:formatCode>
                <c:ptCount val="21"/>
                <c:pt idx="0">
                  <c:v>27.254612000000002</c:v>
                </c:pt>
                <c:pt idx="1">
                  <c:v>26.046082999999999</c:v>
                </c:pt>
                <c:pt idx="2">
                  <c:v>26.637685000000001</c:v>
                </c:pt>
                <c:pt idx="3">
                  <c:v>26.118404999999999</c:v>
                </c:pt>
                <c:pt idx="4">
                  <c:v>25.957616999999999</c:v>
                </c:pt>
                <c:pt idx="5">
                  <c:v>25.981501999999999</c:v>
                </c:pt>
                <c:pt idx="6">
                  <c:v>25.891463000000002</c:v>
                </c:pt>
                <c:pt idx="7">
                  <c:v>26.378205000000001</c:v>
                </c:pt>
                <c:pt idx="8">
                  <c:v>26.345269999999999</c:v>
                </c:pt>
                <c:pt idx="9">
                  <c:v>25.765523999999999</c:v>
                </c:pt>
                <c:pt idx="10">
                  <c:v>25.639928999999999</c:v>
                </c:pt>
                <c:pt idx="11">
                  <c:v>24.868542999999999</c:v>
                </c:pt>
                <c:pt idx="12">
                  <c:v>24.867805000000001</c:v>
                </c:pt>
                <c:pt idx="13">
                  <c:v>24.905035999999999</c:v>
                </c:pt>
                <c:pt idx="14">
                  <c:v>24.994453</c:v>
                </c:pt>
                <c:pt idx="15">
                  <c:v>25.018509999999999</c:v>
                </c:pt>
                <c:pt idx="16">
                  <c:v>25.048214000000002</c:v>
                </c:pt>
                <c:pt idx="17">
                  <c:v>25.517589000000001</c:v>
                </c:pt>
                <c:pt idx="18">
                  <c:v>25.427295999999998</c:v>
                </c:pt>
                <c:pt idx="19">
                  <c:v>25.105108000000001</c:v>
                </c:pt>
                <c:pt idx="20">
                  <c:v>24.784723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F-4DE0-98D2-D6084A64B8AE}"/>
            </c:ext>
          </c:extLst>
        </c:ser>
        <c:ser>
          <c:idx val="2"/>
          <c:order val="2"/>
          <c:tx>
            <c:strRef>
              <c:f>Cronologia!$AN$2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Cronologia!$AN$3:$AN$23</c:f>
              <c:numCache>
                <c:formatCode>General</c:formatCode>
                <c:ptCount val="21"/>
                <c:pt idx="0">
                  <c:v>29.362988000000001</c:v>
                </c:pt>
                <c:pt idx="1">
                  <c:v>27.502303999999999</c:v>
                </c:pt>
                <c:pt idx="2">
                  <c:v>26.959266</c:v>
                </c:pt>
                <c:pt idx="3">
                  <c:v>27.577193999999999</c:v>
                </c:pt>
                <c:pt idx="4">
                  <c:v>27.508523</c:v>
                </c:pt>
                <c:pt idx="5">
                  <c:v>27.333290000000002</c:v>
                </c:pt>
                <c:pt idx="6">
                  <c:v>25.930505</c:v>
                </c:pt>
                <c:pt idx="7">
                  <c:v>24.378205000000001</c:v>
                </c:pt>
                <c:pt idx="8">
                  <c:v>25.508213000000001</c:v>
                </c:pt>
                <c:pt idx="9">
                  <c:v>25.972916999999999</c:v>
                </c:pt>
                <c:pt idx="10">
                  <c:v>25.878184000000001</c:v>
                </c:pt>
                <c:pt idx="11">
                  <c:v>26.142900999999998</c:v>
                </c:pt>
                <c:pt idx="12">
                  <c:v>24.540464</c:v>
                </c:pt>
                <c:pt idx="13">
                  <c:v>22.913217</c:v>
                </c:pt>
                <c:pt idx="14">
                  <c:v>22.988506000000001</c:v>
                </c:pt>
                <c:pt idx="15">
                  <c:v>23.739650999999999</c:v>
                </c:pt>
                <c:pt idx="16">
                  <c:v>23.119662000000002</c:v>
                </c:pt>
                <c:pt idx="17">
                  <c:v>22.462440000000001</c:v>
                </c:pt>
                <c:pt idx="18">
                  <c:v>22.425697</c:v>
                </c:pt>
                <c:pt idx="19">
                  <c:v>23.396547000000002</c:v>
                </c:pt>
                <c:pt idx="20">
                  <c:v>24.602371000000002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0F-4DE0-98D2-D6084A64B8AE}"/>
            </c:ext>
          </c:extLst>
        </c:ser>
        <c:ser>
          <c:idx val="3"/>
          <c:order val="3"/>
          <c:tx>
            <c:strRef>
              <c:f>Cronologia!$AO$2</c:f>
              <c:strCache>
                <c:ptCount val="1"/>
                <c:pt idx="0">
                  <c:v>40-50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Cronologia!$AO$3:$AO$23</c:f>
              <c:numCache>
                <c:formatCode>General</c:formatCode>
                <c:ptCount val="21"/>
                <c:pt idx="0">
                  <c:v>21.675129999999999</c:v>
                </c:pt>
                <c:pt idx="1">
                  <c:v>22.470046</c:v>
                </c:pt>
                <c:pt idx="2">
                  <c:v>22.093854</c:v>
                </c:pt>
                <c:pt idx="3">
                  <c:v>21.225383000000001</c:v>
                </c:pt>
                <c:pt idx="4">
                  <c:v>22.728791999999999</c:v>
                </c:pt>
                <c:pt idx="5">
                  <c:v>22.456503000000001</c:v>
                </c:pt>
                <c:pt idx="6">
                  <c:v>22.768090000000001</c:v>
                </c:pt>
                <c:pt idx="7">
                  <c:v>22.410256</c:v>
                </c:pt>
                <c:pt idx="8">
                  <c:v>22.531310999999999</c:v>
                </c:pt>
                <c:pt idx="9">
                  <c:v>23.801390999999999</c:v>
                </c:pt>
                <c:pt idx="10">
                  <c:v>23.507850000000001</c:v>
                </c:pt>
                <c:pt idx="11">
                  <c:v>23.235385000000001</c:v>
                </c:pt>
                <c:pt idx="12">
                  <c:v>23.941179000000002</c:v>
                </c:pt>
                <c:pt idx="13">
                  <c:v>23.726502</c:v>
                </c:pt>
                <c:pt idx="14">
                  <c:v>23.862779</c:v>
                </c:pt>
                <c:pt idx="15">
                  <c:v>23.712727999999998</c:v>
                </c:pt>
                <c:pt idx="16">
                  <c:v>23.376802000000001</c:v>
                </c:pt>
                <c:pt idx="17">
                  <c:v>23.241114</c:v>
                </c:pt>
                <c:pt idx="18">
                  <c:v>22.396228000000001</c:v>
                </c:pt>
                <c:pt idx="19">
                  <c:v>21.106539000000001</c:v>
                </c:pt>
                <c:pt idx="20">
                  <c:v>21.765778999999998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0F-4DE0-98D2-D6084A64B8AE}"/>
            </c:ext>
          </c:extLst>
        </c:ser>
        <c:ser>
          <c:idx val="4"/>
          <c:order val="4"/>
          <c:tx>
            <c:strRef>
              <c:f>Cronologia!$AP$2</c:f>
              <c:strCache>
                <c:ptCount val="1"/>
                <c:pt idx="0">
                  <c:v>50-60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Cronologia!$AP$3:$AP$23</c:f>
              <c:numCache>
                <c:formatCode>General</c:formatCode>
                <c:ptCount val="21"/>
                <c:pt idx="0">
                  <c:v>10.689722</c:v>
                </c:pt>
                <c:pt idx="1">
                  <c:v>11.557604</c:v>
                </c:pt>
                <c:pt idx="2">
                  <c:v>11.26727</c:v>
                </c:pt>
                <c:pt idx="3">
                  <c:v>12.314612</c:v>
                </c:pt>
                <c:pt idx="4">
                  <c:v>12.246808</c:v>
                </c:pt>
                <c:pt idx="5">
                  <c:v>11.946187</c:v>
                </c:pt>
                <c:pt idx="6">
                  <c:v>12.799322999999999</c:v>
                </c:pt>
                <c:pt idx="7">
                  <c:v>13.397436000000001</c:v>
                </c:pt>
                <c:pt idx="8">
                  <c:v>13.506199000000001</c:v>
                </c:pt>
                <c:pt idx="9">
                  <c:v>12.955959</c:v>
                </c:pt>
                <c:pt idx="10">
                  <c:v>13.36673</c:v>
                </c:pt>
                <c:pt idx="11">
                  <c:v>14.085988</c:v>
                </c:pt>
                <c:pt idx="12">
                  <c:v>14.302261</c:v>
                </c:pt>
                <c:pt idx="13">
                  <c:v>15.199182</c:v>
                </c:pt>
                <c:pt idx="14">
                  <c:v>15.444015</c:v>
                </c:pt>
                <c:pt idx="15">
                  <c:v>16.187656</c:v>
                </c:pt>
                <c:pt idx="16">
                  <c:v>16.447790999999999</c:v>
                </c:pt>
                <c:pt idx="17">
                  <c:v>17.011725999999999</c:v>
                </c:pt>
                <c:pt idx="18">
                  <c:v>17.108696999999999</c:v>
                </c:pt>
                <c:pt idx="19">
                  <c:v>17.175059999999998</c:v>
                </c:pt>
                <c:pt idx="20">
                  <c:v>17.369060999999999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0F-4DE0-98D2-D6084A64B8AE}"/>
            </c:ext>
          </c:extLst>
        </c:ser>
        <c:ser>
          <c:idx val="5"/>
          <c:order val="5"/>
          <c:tx>
            <c:strRef>
              <c:f>Cronologia!$AQ$2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Cronologia!$AK$3:$AK$23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Cronologia!$AQ$3:$AQ$23</c:f>
              <c:numCache>
                <c:formatCode>General</c:formatCode>
                <c:ptCount val="21"/>
                <c:pt idx="0">
                  <c:v>4.6409979999999997</c:v>
                </c:pt>
                <c:pt idx="1">
                  <c:v>5.1674350000000002</c:v>
                </c:pt>
                <c:pt idx="2">
                  <c:v>5.8599329999999998</c:v>
                </c:pt>
                <c:pt idx="3">
                  <c:v>5.7622169999999997</c:v>
                </c:pt>
                <c:pt idx="4">
                  <c:v>5.4415399999999998</c:v>
                </c:pt>
                <c:pt idx="5">
                  <c:v>6.0151349999999999</c:v>
                </c:pt>
                <c:pt idx="6">
                  <c:v>6.1296200000000001</c:v>
                </c:pt>
                <c:pt idx="7">
                  <c:v>6.8974359999999999</c:v>
                </c:pt>
                <c:pt idx="8">
                  <c:v>5.7964630000000001</c:v>
                </c:pt>
                <c:pt idx="9">
                  <c:v>5.3800169999999996</c:v>
                </c:pt>
                <c:pt idx="10">
                  <c:v>5.6203799999999999</c:v>
                </c:pt>
                <c:pt idx="11">
                  <c:v>5.7222390000000001</c:v>
                </c:pt>
                <c:pt idx="12">
                  <c:v>6.5266659999999996</c:v>
                </c:pt>
                <c:pt idx="13">
                  <c:v>6.7692610000000002</c:v>
                </c:pt>
                <c:pt idx="14">
                  <c:v>7.0607550000000003</c:v>
                </c:pt>
                <c:pt idx="15">
                  <c:v>6.4481390000000003</c:v>
                </c:pt>
                <c:pt idx="16">
                  <c:v>6.8509510000000002</c:v>
                </c:pt>
                <c:pt idx="17">
                  <c:v>6.8889699999999996</c:v>
                </c:pt>
                <c:pt idx="18">
                  <c:v>7.5776709999999996</c:v>
                </c:pt>
                <c:pt idx="19">
                  <c:v>8.3594240000000006</c:v>
                </c:pt>
                <c:pt idx="20">
                  <c:v>6.974977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0F-4DE0-98D2-D6084A64B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768143"/>
        <c:axId val="201776303"/>
      </c:lineChart>
      <c:catAx>
        <c:axId val="2017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776303"/>
        <c:crosses val="autoZero"/>
        <c:auto val="1"/>
        <c:lblAlgn val="ctr"/>
        <c:lblOffset val="100"/>
        <c:noMultiLvlLbl val="0"/>
      </c:catAx>
      <c:valAx>
        <c:axId val="2017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17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Escolaridad</a:t>
            </a:r>
            <a:r>
              <a:rPr lang="es-MX" baseline="0"/>
              <a:t>  Coahuila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Cronologia!$AT$2</c:f>
              <c:strCache>
                <c:ptCount val="1"/>
                <c:pt idx="0">
                  <c:v>Basico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Cronologia!$AS$3:$AS$23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Cronologia!$AT$3:$AT$23</c:f>
              <c:numCache>
                <c:formatCode>General</c:formatCode>
                <c:ptCount val="21"/>
                <c:pt idx="0">
                  <c:v>55.968373999999997</c:v>
                </c:pt>
                <c:pt idx="1">
                  <c:v>55.090629999999997</c:v>
                </c:pt>
                <c:pt idx="2">
                  <c:v>55.073844999999999</c:v>
                </c:pt>
                <c:pt idx="3">
                  <c:v>55.549477000000003</c:v>
                </c:pt>
                <c:pt idx="4">
                  <c:v>54.127949999999998</c:v>
                </c:pt>
                <c:pt idx="5">
                  <c:v>54.310847000000003</c:v>
                </c:pt>
                <c:pt idx="6">
                  <c:v>55.121031000000002</c:v>
                </c:pt>
                <c:pt idx="7">
                  <c:v>54.217948999999997</c:v>
                </c:pt>
                <c:pt idx="8">
                  <c:v>53.401724000000002</c:v>
                </c:pt>
                <c:pt idx="9">
                  <c:v>53.818469999999998</c:v>
                </c:pt>
                <c:pt idx="10">
                  <c:v>52.232878999999997</c:v>
                </c:pt>
                <c:pt idx="11">
                  <c:v>51.617693000000003</c:v>
                </c:pt>
                <c:pt idx="12">
                  <c:v>51.785265000000003</c:v>
                </c:pt>
                <c:pt idx="13">
                  <c:v>51.003214</c:v>
                </c:pt>
                <c:pt idx="14">
                  <c:v>47.281765</c:v>
                </c:pt>
                <c:pt idx="15">
                  <c:v>47.607188999999998</c:v>
                </c:pt>
                <c:pt idx="16">
                  <c:v>45.500045999999998</c:v>
                </c:pt>
                <c:pt idx="17">
                  <c:v>44.805790000000002</c:v>
                </c:pt>
                <c:pt idx="18">
                  <c:v>45.297634000000002</c:v>
                </c:pt>
                <c:pt idx="19">
                  <c:v>44.069237000000001</c:v>
                </c:pt>
                <c:pt idx="20">
                  <c:v>43.252963000000001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3-4895-830F-F7E05A070EB8}"/>
            </c:ext>
          </c:extLst>
        </c:ser>
        <c:ser>
          <c:idx val="1"/>
          <c:order val="1"/>
          <c:tx>
            <c:strRef>
              <c:f>Cronologia!$AU$2</c:f>
              <c:strCache>
                <c:ptCount val="1"/>
                <c:pt idx="0">
                  <c:v>Media 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Cronologia!$AS$3:$AS$23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Cronologia!$AU$3:$AU$23</c:f>
              <c:numCache>
                <c:formatCode>General</c:formatCode>
                <c:ptCount val="21"/>
                <c:pt idx="0">
                  <c:v>24.400590999999999</c:v>
                </c:pt>
                <c:pt idx="1">
                  <c:v>25.867896000000002</c:v>
                </c:pt>
                <c:pt idx="2">
                  <c:v>26.488803999999998</c:v>
                </c:pt>
                <c:pt idx="3">
                  <c:v>26.531728999999999</c:v>
                </c:pt>
                <c:pt idx="4">
                  <c:v>28.143592000000002</c:v>
                </c:pt>
                <c:pt idx="5">
                  <c:v>27.501455</c:v>
                </c:pt>
                <c:pt idx="6">
                  <c:v>27.661373999999999</c:v>
                </c:pt>
                <c:pt idx="7">
                  <c:v>28.570512999999998</c:v>
                </c:pt>
                <c:pt idx="8">
                  <c:v>28.824973</c:v>
                </c:pt>
                <c:pt idx="9">
                  <c:v>27.272172999999999</c:v>
                </c:pt>
                <c:pt idx="10">
                  <c:v>27.350480000000001</c:v>
                </c:pt>
                <c:pt idx="11">
                  <c:v>28.097742</c:v>
                </c:pt>
                <c:pt idx="12">
                  <c:v>28.745531</c:v>
                </c:pt>
                <c:pt idx="13">
                  <c:v>28.869192999999999</c:v>
                </c:pt>
                <c:pt idx="14">
                  <c:v>29.920560999999999</c:v>
                </c:pt>
                <c:pt idx="15">
                  <c:v>28.720468</c:v>
                </c:pt>
                <c:pt idx="16">
                  <c:v>30.021121999999998</c:v>
                </c:pt>
                <c:pt idx="17">
                  <c:v>30.093440999999999</c:v>
                </c:pt>
                <c:pt idx="18">
                  <c:v>29.658162999999998</c:v>
                </c:pt>
                <c:pt idx="19">
                  <c:v>29.841667000000001</c:v>
                </c:pt>
                <c:pt idx="20">
                  <c:v>30.422450000000001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23-4895-830F-F7E05A070EB8}"/>
            </c:ext>
          </c:extLst>
        </c:ser>
        <c:ser>
          <c:idx val="2"/>
          <c:order val="2"/>
          <c:tx>
            <c:strRef>
              <c:f>Cronologia!$AV$2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Cronologia!$AS$3:$AS$23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Cronologia!$AV$3:$AV$23</c:f>
              <c:numCache>
                <c:formatCode>General</c:formatCode>
                <c:ptCount val="21"/>
                <c:pt idx="0">
                  <c:v>18.377579000000001</c:v>
                </c:pt>
                <c:pt idx="1">
                  <c:v>17.788018000000001</c:v>
                </c:pt>
                <c:pt idx="2">
                  <c:v>17.091472</c:v>
                </c:pt>
                <c:pt idx="3">
                  <c:v>16.599805</c:v>
                </c:pt>
                <c:pt idx="4">
                  <c:v>16.632128000000002</c:v>
                </c:pt>
                <c:pt idx="5">
                  <c:v>16.855312999999999</c:v>
                </c:pt>
                <c:pt idx="6">
                  <c:v>15.786049</c:v>
                </c:pt>
                <c:pt idx="7">
                  <c:v>15.948718</c:v>
                </c:pt>
                <c:pt idx="8">
                  <c:v>16.39499</c:v>
                </c:pt>
                <c:pt idx="9">
                  <c:v>17.561302999999999</c:v>
                </c:pt>
                <c:pt idx="10">
                  <c:v>18.987110000000001</c:v>
                </c:pt>
                <c:pt idx="11">
                  <c:v>18.954530999999999</c:v>
                </c:pt>
                <c:pt idx="12">
                  <c:v>17.928187000000001</c:v>
                </c:pt>
                <c:pt idx="13">
                  <c:v>18.613032</c:v>
                </c:pt>
                <c:pt idx="14">
                  <c:v>21.200018</c:v>
                </c:pt>
                <c:pt idx="15">
                  <c:v>22.104058999999999</c:v>
                </c:pt>
                <c:pt idx="16">
                  <c:v>23.115069999999999</c:v>
                </c:pt>
                <c:pt idx="17">
                  <c:v>23.543422</c:v>
                </c:pt>
                <c:pt idx="18">
                  <c:v>23.377115</c:v>
                </c:pt>
                <c:pt idx="19">
                  <c:v>24.179265000000001</c:v>
                </c:pt>
                <c:pt idx="20">
                  <c:v>24.197143000000001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23-4895-830F-F7E05A070EB8}"/>
            </c:ext>
          </c:extLst>
        </c:ser>
        <c:ser>
          <c:idx val="3"/>
          <c:order val="3"/>
          <c:tx>
            <c:strRef>
              <c:f>Cronologia!$AW$2</c:f>
              <c:strCache>
                <c:ptCount val="1"/>
                <c:pt idx="0">
                  <c:v>Posgrado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Cronologia!$AS$3:$AS$23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Cronologia!$AW$3:$AW$23</c:f>
              <c:numCache>
                <c:formatCode>General</c:formatCode>
                <c:ptCount val="21"/>
                <c:pt idx="0">
                  <c:v>1.253455</c:v>
                </c:pt>
                <c:pt idx="1">
                  <c:v>1.2534559999999999</c:v>
                </c:pt>
                <c:pt idx="2">
                  <c:v>1.345879</c:v>
                </c:pt>
                <c:pt idx="3">
                  <c:v>1.318989</c:v>
                </c:pt>
                <c:pt idx="4">
                  <c:v>1.09633</c:v>
                </c:pt>
                <c:pt idx="5">
                  <c:v>1.3323849999999999</c:v>
                </c:pt>
                <c:pt idx="6">
                  <c:v>1.431546</c:v>
                </c:pt>
                <c:pt idx="7">
                  <c:v>1.262821</c:v>
                </c:pt>
                <c:pt idx="8">
                  <c:v>1.378312</c:v>
                </c:pt>
                <c:pt idx="9">
                  <c:v>1.3480540000000001</c:v>
                </c:pt>
                <c:pt idx="10">
                  <c:v>1.4295310000000001</c:v>
                </c:pt>
                <c:pt idx="11">
                  <c:v>1.3300339999999999</c:v>
                </c:pt>
                <c:pt idx="12">
                  <c:v>1.541018</c:v>
                </c:pt>
                <c:pt idx="13">
                  <c:v>1.514561</c:v>
                </c:pt>
                <c:pt idx="14">
                  <c:v>1.5976570000000001</c:v>
                </c:pt>
                <c:pt idx="15">
                  <c:v>1.568284</c:v>
                </c:pt>
                <c:pt idx="16">
                  <c:v>1.3637619999999999</c:v>
                </c:pt>
                <c:pt idx="17">
                  <c:v>1.557347</c:v>
                </c:pt>
                <c:pt idx="18">
                  <c:v>1.6670879999999999</c:v>
                </c:pt>
                <c:pt idx="19">
                  <c:v>1.9098310000000001</c:v>
                </c:pt>
                <c:pt idx="20">
                  <c:v>2.1274440000000001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23-4895-830F-F7E05A07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796575"/>
        <c:axId val="869792735"/>
      </c:lineChart>
      <c:catAx>
        <c:axId val="8697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92735"/>
        <c:crosses val="autoZero"/>
        <c:auto val="1"/>
        <c:lblAlgn val="ctr"/>
        <c:lblOffset val="100"/>
        <c:noMultiLvlLbl val="0"/>
      </c:catAx>
      <c:valAx>
        <c:axId val="86979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9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Informalidad</a:t>
            </a:r>
            <a:r>
              <a:rPr lang="es-MX" baseline="0"/>
              <a:t> Coahuila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Cronologia!$AZ$2</c:f>
              <c:strCache>
                <c:ptCount val="1"/>
                <c:pt idx="0">
                  <c:v>Informal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Cronologia!$AY$3:$AY$23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Cronologia!$AZ$3:$AZ$23</c:f>
              <c:numCache>
                <c:formatCode>General</c:formatCode>
                <c:ptCount val="21"/>
                <c:pt idx="0">
                  <c:v>35.437424</c:v>
                </c:pt>
                <c:pt idx="1">
                  <c:v>35.569892000000003</c:v>
                </c:pt>
                <c:pt idx="2">
                  <c:v>36.547165</c:v>
                </c:pt>
                <c:pt idx="3">
                  <c:v>38.402625999999998</c:v>
                </c:pt>
                <c:pt idx="4">
                  <c:v>40.042783999999997</c:v>
                </c:pt>
                <c:pt idx="5">
                  <c:v>39.809843999999998</c:v>
                </c:pt>
                <c:pt idx="6">
                  <c:v>38.508589000000001</c:v>
                </c:pt>
                <c:pt idx="7">
                  <c:v>38.371794999999999</c:v>
                </c:pt>
                <c:pt idx="8">
                  <c:v>36.698345000000003</c:v>
                </c:pt>
                <c:pt idx="9">
                  <c:v>33.249969999999998</c:v>
                </c:pt>
                <c:pt idx="10">
                  <c:v>32.017839000000002</c:v>
                </c:pt>
                <c:pt idx="11">
                  <c:v>33.096195000000002</c:v>
                </c:pt>
                <c:pt idx="12">
                  <c:v>35.498817000000003</c:v>
                </c:pt>
                <c:pt idx="13">
                  <c:v>35.628712999999998</c:v>
                </c:pt>
                <c:pt idx="14">
                  <c:v>34.167665</c:v>
                </c:pt>
                <c:pt idx="15">
                  <c:v>34.058019999999999</c:v>
                </c:pt>
                <c:pt idx="16">
                  <c:v>34.736890000000002</c:v>
                </c:pt>
                <c:pt idx="17">
                  <c:v>33.941004</c:v>
                </c:pt>
                <c:pt idx="18">
                  <c:v>34.962533000000001</c:v>
                </c:pt>
                <c:pt idx="19">
                  <c:v>33.996780000000001</c:v>
                </c:pt>
                <c:pt idx="20">
                  <c:v>33.046297000000003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D-402A-88A7-BE13F17088A6}"/>
            </c:ext>
          </c:extLst>
        </c:ser>
        <c:ser>
          <c:idx val="1"/>
          <c:order val="1"/>
          <c:tx>
            <c:strRef>
              <c:f>Cronologia!$BA$2</c:f>
              <c:strCache>
                <c:ptCount val="1"/>
                <c:pt idx="0">
                  <c:v>Formal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Cronologia!$AY$3:$AY$23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Cronologia!$BA$3:$BA$23</c:f>
              <c:numCache>
                <c:formatCode>General</c:formatCode>
                <c:ptCount val="21"/>
                <c:pt idx="0">
                  <c:v>64.562576000000007</c:v>
                </c:pt>
                <c:pt idx="1">
                  <c:v>64.430108000000004</c:v>
                </c:pt>
                <c:pt idx="2">
                  <c:v>63.452835</c:v>
                </c:pt>
                <c:pt idx="3">
                  <c:v>61.597374000000002</c:v>
                </c:pt>
                <c:pt idx="4">
                  <c:v>59.957216000000003</c:v>
                </c:pt>
                <c:pt idx="5">
                  <c:v>60.190156000000002</c:v>
                </c:pt>
                <c:pt idx="6">
                  <c:v>61.491410999999999</c:v>
                </c:pt>
                <c:pt idx="7">
                  <c:v>61.628205000000001</c:v>
                </c:pt>
                <c:pt idx="8">
                  <c:v>63.301654999999997</c:v>
                </c:pt>
                <c:pt idx="9">
                  <c:v>66.750029999999995</c:v>
                </c:pt>
                <c:pt idx="10">
                  <c:v>67.982161000000005</c:v>
                </c:pt>
                <c:pt idx="11">
                  <c:v>66.903805000000006</c:v>
                </c:pt>
                <c:pt idx="12">
                  <c:v>64.501182999999997</c:v>
                </c:pt>
                <c:pt idx="13">
                  <c:v>64.371286999999995</c:v>
                </c:pt>
                <c:pt idx="14">
                  <c:v>65.832335</c:v>
                </c:pt>
                <c:pt idx="15">
                  <c:v>65.941980000000001</c:v>
                </c:pt>
                <c:pt idx="16">
                  <c:v>65.263109999999998</c:v>
                </c:pt>
                <c:pt idx="17">
                  <c:v>66.058995999999993</c:v>
                </c:pt>
                <c:pt idx="18">
                  <c:v>65.037467000000007</c:v>
                </c:pt>
                <c:pt idx="19">
                  <c:v>66.003219999999999</c:v>
                </c:pt>
                <c:pt idx="20">
                  <c:v>66.953703000000004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D-402A-88A7-BE13F170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818175"/>
        <c:axId val="869817695"/>
      </c:lineChart>
      <c:catAx>
        <c:axId val="86981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817695"/>
        <c:crosses val="autoZero"/>
        <c:auto val="1"/>
        <c:lblAlgn val="ctr"/>
        <c:lblOffset val="100"/>
        <c:noMultiLvlLbl val="0"/>
      </c:catAx>
      <c:valAx>
        <c:axId val="86981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81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Edad</a:t>
            </a:r>
            <a:r>
              <a:rPr lang="es-MX" baseline="0"/>
              <a:t> Nuevo León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Cronologia!$BD$2</c:f>
              <c:strCache>
                <c:ptCount val="1"/>
                <c:pt idx="0">
                  <c:v>15-20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Cronologia!$BD$3:$BD$23</c:f>
              <c:numCache>
                <c:formatCode>General</c:formatCode>
                <c:ptCount val="21"/>
                <c:pt idx="0">
                  <c:v>7.8442769999999999</c:v>
                </c:pt>
                <c:pt idx="1">
                  <c:v>7.9878450000000001</c:v>
                </c:pt>
                <c:pt idx="2">
                  <c:v>8.7965689999999999</c:v>
                </c:pt>
                <c:pt idx="3">
                  <c:v>8.6274060000000006</c:v>
                </c:pt>
                <c:pt idx="4">
                  <c:v>7.5413490000000003</c:v>
                </c:pt>
                <c:pt idx="5">
                  <c:v>7.1232879999999996</c:v>
                </c:pt>
                <c:pt idx="6">
                  <c:v>7.5321809999999996</c:v>
                </c:pt>
                <c:pt idx="7">
                  <c:v>7.0630240000000004</c:v>
                </c:pt>
                <c:pt idx="8">
                  <c:v>6.8987049999999996</c:v>
                </c:pt>
                <c:pt idx="9">
                  <c:v>6.8528719999999996</c:v>
                </c:pt>
                <c:pt idx="10">
                  <c:v>6.7206109999999999</c:v>
                </c:pt>
                <c:pt idx="11">
                  <c:v>6.9403860000000002</c:v>
                </c:pt>
                <c:pt idx="12">
                  <c:v>6.4920549999999997</c:v>
                </c:pt>
                <c:pt idx="13">
                  <c:v>6.7773820000000002</c:v>
                </c:pt>
                <c:pt idx="14">
                  <c:v>6.0971760000000002</c:v>
                </c:pt>
                <c:pt idx="15">
                  <c:v>4.7981439999999997</c:v>
                </c:pt>
                <c:pt idx="16">
                  <c:v>5.4837009999999999</c:v>
                </c:pt>
                <c:pt idx="17">
                  <c:v>5.095135</c:v>
                </c:pt>
                <c:pt idx="18">
                  <c:v>5.0498570000000003</c:v>
                </c:pt>
                <c:pt idx="19">
                  <c:v>4.8455519999999996</c:v>
                </c:pt>
                <c:pt idx="20">
                  <c:v>5.7858049999999999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D-431C-BD72-8AE991168548}"/>
            </c:ext>
          </c:extLst>
        </c:ser>
        <c:ser>
          <c:idx val="1"/>
          <c:order val="1"/>
          <c:tx>
            <c:strRef>
              <c:f>Cronologia!$BE$2</c:f>
              <c:strCache>
                <c:ptCount val="1"/>
                <c:pt idx="0">
                  <c:v>20-30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Cronologia!$BE$3:$BE$23</c:f>
              <c:numCache>
                <c:formatCode>General</c:formatCode>
                <c:ptCount val="21"/>
                <c:pt idx="0">
                  <c:v>28.683112000000001</c:v>
                </c:pt>
                <c:pt idx="1">
                  <c:v>28.125678000000001</c:v>
                </c:pt>
                <c:pt idx="2">
                  <c:v>26.947199000000001</c:v>
                </c:pt>
                <c:pt idx="3">
                  <c:v>26.489459</c:v>
                </c:pt>
                <c:pt idx="4">
                  <c:v>27.113416000000001</c:v>
                </c:pt>
                <c:pt idx="5">
                  <c:v>26.501837999999999</c:v>
                </c:pt>
                <c:pt idx="6">
                  <c:v>25.75947</c:v>
                </c:pt>
                <c:pt idx="7">
                  <c:v>25.628686999999999</c:v>
                </c:pt>
                <c:pt idx="8">
                  <c:v>25.230217</c:v>
                </c:pt>
                <c:pt idx="9">
                  <c:v>24.602675000000001</c:v>
                </c:pt>
                <c:pt idx="10">
                  <c:v>23.271146999999999</c:v>
                </c:pt>
                <c:pt idx="11">
                  <c:v>24.298656000000001</c:v>
                </c:pt>
                <c:pt idx="12">
                  <c:v>25.313423</c:v>
                </c:pt>
                <c:pt idx="13">
                  <c:v>23.321470999999999</c:v>
                </c:pt>
                <c:pt idx="14">
                  <c:v>23.529412000000001</c:v>
                </c:pt>
                <c:pt idx="15">
                  <c:v>24.092807000000001</c:v>
                </c:pt>
                <c:pt idx="16">
                  <c:v>24.621057</c:v>
                </c:pt>
                <c:pt idx="17">
                  <c:v>25.309667000000001</c:v>
                </c:pt>
                <c:pt idx="18">
                  <c:v>25.348417000000001</c:v>
                </c:pt>
                <c:pt idx="19">
                  <c:v>25.034355000000001</c:v>
                </c:pt>
                <c:pt idx="20">
                  <c:v>23.825227000000002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D-431C-BD72-8AE991168548}"/>
            </c:ext>
          </c:extLst>
        </c:ser>
        <c:ser>
          <c:idx val="2"/>
          <c:order val="2"/>
          <c:tx>
            <c:strRef>
              <c:f>Cronologia!$BF$2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Cronologia!$BF$3:$BF$23</c:f>
              <c:numCache>
                <c:formatCode>General</c:formatCode>
                <c:ptCount val="21"/>
                <c:pt idx="0">
                  <c:v>27.003328</c:v>
                </c:pt>
                <c:pt idx="1">
                  <c:v>26.638811</c:v>
                </c:pt>
                <c:pt idx="2">
                  <c:v>25.896542</c:v>
                </c:pt>
                <c:pt idx="3">
                  <c:v>25.653071000000001</c:v>
                </c:pt>
                <c:pt idx="4">
                  <c:v>25.242846</c:v>
                </c:pt>
                <c:pt idx="5">
                  <c:v>24.76445</c:v>
                </c:pt>
                <c:pt idx="6">
                  <c:v>25.178374000000002</c:v>
                </c:pt>
                <c:pt idx="7">
                  <c:v>24.464452000000001</c:v>
                </c:pt>
                <c:pt idx="8">
                  <c:v>25.292649000000001</c:v>
                </c:pt>
                <c:pt idx="9">
                  <c:v>27.749803</c:v>
                </c:pt>
                <c:pt idx="10">
                  <c:v>26.635199</c:v>
                </c:pt>
                <c:pt idx="11">
                  <c:v>25.679427</c:v>
                </c:pt>
                <c:pt idx="12">
                  <c:v>23.955921</c:v>
                </c:pt>
                <c:pt idx="13">
                  <c:v>22.261763999999999</c:v>
                </c:pt>
                <c:pt idx="14">
                  <c:v>22.366841000000001</c:v>
                </c:pt>
                <c:pt idx="15">
                  <c:v>22.635731</c:v>
                </c:pt>
                <c:pt idx="16">
                  <c:v>21.612922000000001</c:v>
                </c:pt>
                <c:pt idx="17">
                  <c:v>21.670285</c:v>
                </c:pt>
                <c:pt idx="18">
                  <c:v>21.190740000000002</c:v>
                </c:pt>
                <c:pt idx="19">
                  <c:v>21.664574999999999</c:v>
                </c:pt>
                <c:pt idx="20">
                  <c:v>24.447275999999999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D-431C-BD72-8AE991168548}"/>
            </c:ext>
          </c:extLst>
        </c:ser>
        <c:ser>
          <c:idx val="3"/>
          <c:order val="3"/>
          <c:tx>
            <c:strRef>
              <c:f>Cronologia!$BG$2</c:f>
              <c:strCache>
                <c:ptCount val="1"/>
                <c:pt idx="0">
                  <c:v>40-50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Cronologia!$BG$3:$BG$23</c:f>
              <c:numCache>
                <c:formatCode>General</c:formatCode>
                <c:ptCount val="21"/>
                <c:pt idx="0">
                  <c:v>21.087105999999999</c:v>
                </c:pt>
                <c:pt idx="1">
                  <c:v>21.261123999999999</c:v>
                </c:pt>
                <c:pt idx="2">
                  <c:v>22.229965</c:v>
                </c:pt>
                <c:pt idx="3">
                  <c:v>22.456461999999998</c:v>
                </c:pt>
                <c:pt idx="4">
                  <c:v>22.709372999999999</c:v>
                </c:pt>
                <c:pt idx="5">
                  <c:v>22.552623000000001</c:v>
                </c:pt>
                <c:pt idx="6">
                  <c:v>22.751010999999998</c:v>
                </c:pt>
                <c:pt idx="7">
                  <c:v>23.207079</c:v>
                </c:pt>
                <c:pt idx="8">
                  <c:v>23.716248</c:v>
                </c:pt>
                <c:pt idx="9">
                  <c:v>23.595593999999998</c:v>
                </c:pt>
                <c:pt idx="10">
                  <c:v>23.705701999999999</c:v>
                </c:pt>
                <c:pt idx="11">
                  <c:v>23.385446999999999</c:v>
                </c:pt>
                <c:pt idx="12">
                  <c:v>22.973728000000001</c:v>
                </c:pt>
                <c:pt idx="13">
                  <c:v>24.713325000000001</c:v>
                </c:pt>
                <c:pt idx="14">
                  <c:v>24.192834999999999</c:v>
                </c:pt>
                <c:pt idx="15">
                  <c:v>24.129930000000002</c:v>
                </c:pt>
                <c:pt idx="16">
                  <c:v>24.217241000000001</c:v>
                </c:pt>
                <c:pt idx="17">
                  <c:v>23.247350000000001</c:v>
                </c:pt>
                <c:pt idx="18">
                  <c:v>23.167532000000001</c:v>
                </c:pt>
                <c:pt idx="19">
                  <c:v>22.787835000000001</c:v>
                </c:pt>
                <c:pt idx="20">
                  <c:v>21.134677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8D-431C-BD72-8AE991168548}"/>
            </c:ext>
          </c:extLst>
        </c:ser>
        <c:ser>
          <c:idx val="4"/>
          <c:order val="4"/>
          <c:tx>
            <c:strRef>
              <c:f>Cronologia!$BH$2</c:f>
              <c:strCache>
                <c:ptCount val="1"/>
                <c:pt idx="0">
                  <c:v>50-60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Cronologia!$BH$3:$BH$23</c:f>
              <c:numCache>
                <c:formatCode>General</c:formatCode>
                <c:ptCount val="21"/>
                <c:pt idx="0">
                  <c:v>10.781257999999999</c:v>
                </c:pt>
                <c:pt idx="1">
                  <c:v>11.254613000000001</c:v>
                </c:pt>
                <c:pt idx="2">
                  <c:v>11.369605999999999</c:v>
                </c:pt>
                <c:pt idx="3">
                  <c:v>11.938587999999999</c:v>
                </c:pt>
                <c:pt idx="4">
                  <c:v>11.925701999999999</c:v>
                </c:pt>
                <c:pt idx="5">
                  <c:v>13.083862</c:v>
                </c:pt>
                <c:pt idx="6">
                  <c:v>13.284295999999999</c:v>
                </c:pt>
                <c:pt idx="7">
                  <c:v>13.807824</c:v>
                </c:pt>
                <c:pt idx="8">
                  <c:v>13.063836</c:v>
                </c:pt>
                <c:pt idx="9">
                  <c:v>12.092840000000001</c:v>
                </c:pt>
                <c:pt idx="10">
                  <c:v>13.733423</c:v>
                </c:pt>
                <c:pt idx="11">
                  <c:v>13.815020000000001</c:v>
                </c:pt>
                <c:pt idx="12">
                  <c:v>14.700950000000001</c:v>
                </c:pt>
                <c:pt idx="13">
                  <c:v>15.824437</c:v>
                </c:pt>
                <c:pt idx="14">
                  <c:v>16.004296</c:v>
                </c:pt>
                <c:pt idx="15">
                  <c:v>17.392111</c:v>
                </c:pt>
                <c:pt idx="16">
                  <c:v>17.293849000000002</c:v>
                </c:pt>
                <c:pt idx="17">
                  <c:v>17.571190999999999</c:v>
                </c:pt>
                <c:pt idx="18">
                  <c:v>17.540381</c:v>
                </c:pt>
                <c:pt idx="19">
                  <c:v>18.163350999999999</c:v>
                </c:pt>
                <c:pt idx="20">
                  <c:v>17.732144000000002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8D-431C-BD72-8AE991168548}"/>
            </c:ext>
          </c:extLst>
        </c:ser>
        <c:ser>
          <c:idx val="5"/>
          <c:order val="5"/>
          <c:tx>
            <c:strRef>
              <c:f>Cronologia!$BI$2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Cronologia!$BC$3:$BC$23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Cronologia!$BI$3:$BI$23</c:f>
              <c:numCache>
                <c:formatCode>General</c:formatCode>
                <c:ptCount val="21"/>
                <c:pt idx="0">
                  <c:v>4.6009190000000002</c:v>
                </c:pt>
                <c:pt idx="1">
                  <c:v>4.7319300000000002</c:v>
                </c:pt>
                <c:pt idx="2">
                  <c:v>4.7601180000000003</c:v>
                </c:pt>
                <c:pt idx="3">
                  <c:v>4.8350140000000001</c:v>
                </c:pt>
                <c:pt idx="4">
                  <c:v>5.467314</c:v>
                </c:pt>
                <c:pt idx="5">
                  <c:v>5.9739389999999997</c:v>
                </c:pt>
                <c:pt idx="6">
                  <c:v>5.4946669999999997</c:v>
                </c:pt>
                <c:pt idx="7">
                  <c:v>5.8289350000000004</c:v>
                </c:pt>
                <c:pt idx="8">
                  <c:v>5.7983460000000004</c:v>
                </c:pt>
                <c:pt idx="9">
                  <c:v>5.1062159999999999</c:v>
                </c:pt>
                <c:pt idx="10">
                  <c:v>5.9339180000000002</c:v>
                </c:pt>
                <c:pt idx="11">
                  <c:v>5.8810640000000003</c:v>
                </c:pt>
                <c:pt idx="12">
                  <c:v>6.5639219999999998</c:v>
                </c:pt>
                <c:pt idx="13">
                  <c:v>7.1016209999999997</c:v>
                </c:pt>
                <c:pt idx="14">
                  <c:v>7.8094400000000004</c:v>
                </c:pt>
                <c:pt idx="15">
                  <c:v>6.951276</c:v>
                </c:pt>
                <c:pt idx="16">
                  <c:v>6.7712300000000001</c:v>
                </c:pt>
                <c:pt idx="17">
                  <c:v>7.1063720000000004</c:v>
                </c:pt>
                <c:pt idx="18">
                  <c:v>7.7030729999999998</c:v>
                </c:pt>
                <c:pt idx="19">
                  <c:v>7.5043319999999998</c:v>
                </c:pt>
                <c:pt idx="20">
                  <c:v>7.0748709999999999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8D-431C-BD72-8AE991168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760095"/>
        <c:axId val="869757695"/>
      </c:lineChart>
      <c:catAx>
        <c:axId val="8697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57695"/>
        <c:crosses val="autoZero"/>
        <c:auto val="1"/>
        <c:lblAlgn val="ctr"/>
        <c:lblOffset val="100"/>
        <c:noMultiLvlLbl val="0"/>
      </c:catAx>
      <c:valAx>
        <c:axId val="86975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Escolaridad</a:t>
            </a:r>
            <a:r>
              <a:rPr lang="es-MX" baseline="0"/>
              <a:t> Nuevo León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Cronologia!$BL$2</c:f>
              <c:strCache>
                <c:ptCount val="1"/>
                <c:pt idx="0">
                  <c:v>Basico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Cronologia!$BK$3:$BK$23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Cronologia!$BL$3:$BL$23</c:f>
              <c:numCache>
                <c:formatCode>General</c:formatCode>
                <c:ptCount val="21"/>
                <c:pt idx="0">
                  <c:v>54.730336000000001</c:v>
                </c:pt>
                <c:pt idx="1">
                  <c:v>54.482309999999998</c:v>
                </c:pt>
                <c:pt idx="2">
                  <c:v>56.086840000000002</c:v>
                </c:pt>
                <c:pt idx="3">
                  <c:v>56.175527000000002</c:v>
                </c:pt>
                <c:pt idx="4">
                  <c:v>55.414807000000003</c:v>
                </c:pt>
                <c:pt idx="5">
                  <c:v>54.467089999999999</c:v>
                </c:pt>
                <c:pt idx="6">
                  <c:v>57.168075999999999</c:v>
                </c:pt>
                <c:pt idx="7">
                  <c:v>58.227258999999997</c:v>
                </c:pt>
                <c:pt idx="8">
                  <c:v>59.224285999999999</c:v>
                </c:pt>
                <c:pt idx="9">
                  <c:v>58.261212</c:v>
                </c:pt>
                <c:pt idx="10">
                  <c:v>58.687345000000001</c:v>
                </c:pt>
                <c:pt idx="11">
                  <c:v>56.670076000000002</c:v>
                </c:pt>
                <c:pt idx="12">
                  <c:v>55.777369999999998</c:v>
                </c:pt>
                <c:pt idx="13">
                  <c:v>56.030051</c:v>
                </c:pt>
                <c:pt idx="14">
                  <c:v>51.525874000000002</c:v>
                </c:pt>
                <c:pt idx="15">
                  <c:v>48.139211000000003</c:v>
                </c:pt>
                <c:pt idx="16">
                  <c:v>46.075963999999999</c:v>
                </c:pt>
                <c:pt idx="17">
                  <c:v>45.256034</c:v>
                </c:pt>
                <c:pt idx="18">
                  <c:v>45.110501999999997</c:v>
                </c:pt>
                <c:pt idx="19">
                  <c:v>44.816873000000001</c:v>
                </c:pt>
                <c:pt idx="20">
                  <c:v>45.004871000000001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E-49E2-897C-5CBAA7BE055A}"/>
            </c:ext>
          </c:extLst>
        </c:ser>
        <c:ser>
          <c:idx val="1"/>
          <c:order val="1"/>
          <c:tx>
            <c:strRef>
              <c:f>Cronologia!$BM$2</c:f>
              <c:strCache>
                <c:ptCount val="1"/>
                <c:pt idx="0">
                  <c:v>Media 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Cronologia!$BK$3:$BK$23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Cronologia!$BM$3:$BM$23</c:f>
              <c:numCache>
                <c:formatCode>General</c:formatCode>
                <c:ptCount val="21"/>
                <c:pt idx="0">
                  <c:v>26.665258000000001</c:v>
                </c:pt>
                <c:pt idx="1">
                  <c:v>26.720208</c:v>
                </c:pt>
                <c:pt idx="2">
                  <c:v>26.336103000000001</c:v>
                </c:pt>
                <c:pt idx="3">
                  <c:v>26.059808</c:v>
                </c:pt>
                <c:pt idx="4">
                  <c:v>27.599107</c:v>
                </c:pt>
                <c:pt idx="5">
                  <c:v>28.085533000000002</c:v>
                </c:pt>
                <c:pt idx="6">
                  <c:v>27.627804000000001</c:v>
                </c:pt>
                <c:pt idx="7">
                  <c:v>26.552313000000002</c:v>
                </c:pt>
                <c:pt idx="8">
                  <c:v>27.032933</c:v>
                </c:pt>
                <c:pt idx="9">
                  <c:v>28.025176999999999</c:v>
                </c:pt>
                <c:pt idx="10">
                  <c:v>27.496815999999999</c:v>
                </c:pt>
                <c:pt idx="11">
                  <c:v>28.550554999999999</c:v>
                </c:pt>
                <c:pt idx="12">
                  <c:v>28.938752999999998</c:v>
                </c:pt>
                <c:pt idx="13">
                  <c:v>29.260577000000001</c:v>
                </c:pt>
                <c:pt idx="14">
                  <c:v>29.190624</c:v>
                </c:pt>
                <c:pt idx="15">
                  <c:v>30.236659</c:v>
                </c:pt>
                <c:pt idx="16">
                  <c:v>30.883127999999999</c:v>
                </c:pt>
                <c:pt idx="17">
                  <c:v>31.892479000000002</c:v>
                </c:pt>
                <c:pt idx="18">
                  <c:v>31.640329000000001</c:v>
                </c:pt>
                <c:pt idx="19">
                  <c:v>31.528948</c:v>
                </c:pt>
                <c:pt idx="20">
                  <c:v>32.301580999999999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E-49E2-897C-5CBAA7BE055A}"/>
            </c:ext>
          </c:extLst>
        </c:ser>
        <c:ser>
          <c:idx val="2"/>
          <c:order val="2"/>
          <c:tx>
            <c:strRef>
              <c:f>Cronologia!$BN$2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Cronologia!$BK$3:$BK$23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Cronologia!$BN$3:$BN$23</c:f>
              <c:numCache>
                <c:formatCode>General</c:formatCode>
                <c:ptCount val="21"/>
                <c:pt idx="0">
                  <c:v>17.172891</c:v>
                </c:pt>
                <c:pt idx="1">
                  <c:v>17.397438999999999</c:v>
                </c:pt>
                <c:pt idx="2">
                  <c:v>16.188689</c:v>
                </c:pt>
                <c:pt idx="3">
                  <c:v>16.338221999999998</c:v>
                </c:pt>
                <c:pt idx="4">
                  <c:v>15.725911999999999</c:v>
                </c:pt>
                <c:pt idx="5">
                  <c:v>16.197794999999999</c:v>
                </c:pt>
                <c:pt idx="6">
                  <c:v>14.100771999999999</c:v>
                </c:pt>
                <c:pt idx="7">
                  <c:v>14.133808999999999</c:v>
                </c:pt>
                <c:pt idx="8">
                  <c:v>12.650226</c:v>
                </c:pt>
                <c:pt idx="9">
                  <c:v>12.895358</c:v>
                </c:pt>
                <c:pt idx="10">
                  <c:v>13.01416</c:v>
                </c:pt>
                <c:pt idx="11">
                  <c:v>13.815020000000001</c:v>
                </c:pt>
                <c:pt idx="12">
                  <c:v>14.389523000000001</c:v>
                </c:pt>
                <c:pt idx="13">
                  <c:v>13.792013000000001</c:v>
                </c:pt>
                <c:pt idx="14">
                  <c:v>17.937701000000001</c:v>
                </c:pt>
                <c:pt idx="15">
                  <c:v>20.009281000000001</c:v>
                </c:pt>
                <c:pt idx="16">
                  <c:v>21.074501000000001</c:v>
                </c:pt>
                <c:pt idx="17">
                  <c:v>21.236113</c:v>
                </c:pt>
                <c:pt idx="18">
                  <c:v>21.598927</c:v>
                </c:pt>
                <c:pt idx="19">
                  <c:v>21.81992</c:v>
                </c:pt>
                <c:pt idx="20">
                  <c:v>20.864872999999999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E-49E2-897C-5CBAA7BE055A}"/>
            </c:ext>
          </c:extLst>
        </c:ser>
        <c:ser>
          <c:idx val="3"/>
          <c:order val="3"/>
          <c:tx>
            <c:strRef>
              <c:f>Cronologia!$BO$2</c:f>
              <c:strCache>
                <c:ptCount val="1"/>
                <c:pt idx="0">
                  <c:v>Posgrado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Cronologia!$BK$3:$BK$23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Cronologia!$BO$3:$BO$23</c:f>
              <c:numCache>
                <c:formatCode>General</c:formatCode>
                <c:ptCount val="21"/>
                <c:pt idx="0">
                  <c:v>1.431514</c:v>
                </c:pt>
                <c:pt idx="1">
                  <c:v>1.4000429999999999</c:v>
                </c:pt>
                <c:pt idx="2">
                  <c:v>1.388368</c:v>
                </c:pt>
                <c:pt idx="3">
                  <c:v>1.426444</c:v>
                </c:pt>
                <c:pt idx="4">
                  <c:v>1.260173</c:v>
                </c:pt>
                <c:pt idx="5">
                  <c:v>1.249582</c:v>
                </c:pt>
                <c:pt idx="6">
                  <c:v>1.1033470000000001</c:v>
                </c:pt>
                <c:pt idx="7">
                  <c:v>1.086619</c:v>
                </c:pt>
                <c:pt idx="8">
                  <c:v>1.0925549999999999</c:v>
                </c:pt>
                <c:pt idx="9">
                  <c:v>0.81825300000000001</c:v>
                </c:pt>
                <c:pt idx="10">
                  <c:v>0.801678</c:v>
                </c:pt>
                <c:pt idx="11">
                  <c:v>0.96434799999999998</c:v>
                </c:pt>
                <c:pt idx="12">
                  <c:v>0.89435399999999998</c:v>
                </c:pt>
                <c:pt idx="13">
                  <c:v>0.91735900000000004</c:v>
                </c:pt>
                <c:pt idx="14">
                  <c:v>1.345801</c:v>
                </c:pt>
                <c:pt idx="15">
                  <c:v>1.614849</c:v>
                </c:pt>
                <c:pt idx="16">
                  <c:v>1.966407</c:v>
                </c:pt>
                <c:pt idx="17">
                  <c:v>1.615375</c:v>
                </c:pt>
                <c:pt idx="18">
                  <c:v>1.650242</c:v>
                </c:pt>
                <c:pt idx="19">
                  <c:v>1.8342590000000001</c:v>
                </c:pt>
                <c:pt idx="20">
                  <c:v>1.8286739999999999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5E-49E2-897C-5CBAA7BE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734655"/>
        <c:axId val="869721215"/>
      </c:lineChart>
      <c:catAx>
        <c:axId val="86973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21215"/>
        <c:crosses val="autoZero"/>
        <c:auto val="1"/>
        <c:lblAlgn val="ctr"/>
        <c:lblOffset val="100"/>
        <c:noMultiLvlLbl val="0"/>
      </c:catAx>
      <c:valAx>
        <c:axId val="86972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3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Informalidad</a:t>
            </a:r>
            <a:r>
              <a:rPr lang="es-MX" baseline="0"/>
              <a:t> Nuevo León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Cronologia!$BR$2</c:f>
              <c:strCache>
                <c:ptCount val="1"/>
                <c:pt idx="0">
                  <c:v>Informal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Cronologia!$BQ$3:$BQ$23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Cronologia!$BR$3:$BR$23</c:f>
              <c:numCache>
                <c:formatCode>General</c:formatCode>
                <c:ptCount val="21"/>
                <c:pt idx="0">
                  <c:v>37.145423000000001</c:v>
                </c:pt>
                <c:pt idx="1">
                  <c:v>37.372477000000003</c:v>
                </c:pt>
                <c:pt idx="2">
                  <c:v>37.823639999999997</c:v>
                </c:pt>
                <c:pt idx="3">
                  <c:v>39.298808000000001</c:v>
                </c:pt>
                <c:pt idx="4">
                  <c:v>42.484904</c:v>
                </c:pt>
                <c:pt idx="5">
                  <c:v>42.753090999999998</c:v>
                </c:pt>
                <c:pt idx="6">
                  <c:v>43.265906999999999</c:v>
                </c:pt>
                <c:pt idx="7">
                  <c:v>45.117975999999999</c:v>
                </c:pt>
                <c:pt idx="8">
                  <c:v>41.556111000000001</c:v>
                </c:pt>
                <c:pt idx="9">
                  <c:v>39.763964999999999</c:v>
                </c:pt>
                <c:pt idx="10">
                  <c:v>40.256236999999999</c:v>
                </c:pt>
                <c:pt idx="11">
                  <c:v>39.793979999999998</c:v>
                </c:pt>
                <c:pt idx="12">
                  <c:v>39.415475999999998</c:v>
                </c:pt>
                <c:pt idx="13">
                  <c:v>41.589561000000003</c:v>
                </c:pt>
                <c:pt idx="14">
                  <c:v>40.31718</c:v>
                </c:pt>
                <c:pt idx="15">
                  <c:v>37.698376000000003</c:v>
                </c:pt>
                <c:pt idx="16">
                  <c:v>37.888452999999998</c:v>
                </c:pt>
                <c:pt idx="17">
                  <c:v>38.430596000000001</c:v>
                </c:pt>
                <c:pt idx="18">
                  <c:v>38.707796000000002</c:v>
                </c:pt>
                <c:pt idx="19">
                  <c:v>37.718826999999997</c:v>
                </c:pt>
                <c:pt idx="20">
                  <c:v>37.817582000000002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B4-4524-B10D-0D704136D816}"/>
            </c:ext>
          </c:extLst>
        </c:ser>
        <c:ser>
          <c:idx val="1"/>
          <c:order val="1"/>
          <c:tx>
            <c:strRef>
              <c:f>Cronologia!$BS$2</c:f>
              <c:strCache>
                <c:ptCount val="1"/>
                <c:pt idx="0">
                  <c:v>Formal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Cronologia!$BQ$3:$BQ$23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Cronologia!$BS$3:$BS$23</c:f>
              <c:numCache>
                <c:formatCode>General</c:formatCode>
                <c:ptCount val="21"/>
                <c:pt idx="0">
                  <c:v>62.854576999999999</c:v>
                </c:pt>
                <c:pt idx="1">
                  <c:v>62.627522999999997</c:v>
                </c:pt>
                <c:pt idx="2">
                  <c:v>62.176360000000003</c:v>
                </c:pt>
                <c:pt idx="3">
                  <c:v>60.701191999999999</c:v>
                </c:pt>
                <c:pt idx="4">
                  <c:v>57.515096</c:v>
                </c:pt>
                <c:pt idx="5">
                  <c:v>57.246909000000002</c:v>
                </c:pt>
                <c:pt idx="6">
                  <c:v>56.734093000000001</c:v>
                </c:pt>
                <c:pt idx="7">
                  <c:v>54.882024000000001</c:v>
                </c:pt>
                <c:pt idx="8">
                  <c:v>58.443888999999999</c:v>
                </c:pt>
                <c:pt idx="9">
                  <c:v>60.236035000000001</c:v>
                </c:pt>
                <c:pt idx="10">
                  <c:v>59.743763000000001</c:v>
                </c:pt>
                <c:pt idx="11">
                  <c:v>60.206020000000002</c:v>
                </c:pt>
                <c:pt idx="12">
                  <c:v>60.584524000000002</c:v>
                </c:pt>
                <c:pt idx="13">
                  <c:v>58.410438999999997</c:v>
                </c:pt>
                <c:pt idx="14">
                  <c:v>59.68282</c:v>
                </c:pt>
                <c:pt idx="15">
                  <c:v>62.301623999999997</c:v>
                </c:pt>
                <c:pt idx="16">
                  <c:v>62.111547000000002</c:v>
                </c:pt>
                <c:pt idx="17">
                  <c:v>61.569403999999999</c:v>
                </c:pt>
                <c:pt idx="18">
                  <c:v>61.292203999999998</c:v>
                </c:pt>
                <c:pt idx="19">
                  <c:v>62.281173000000003</c:v>
                </c:pt>
                <c:pt idx="20">
                  <c:v>62.182417999999998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B4-4524-B10D-0D704136D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737055"/>
        <c:axId val="869737535"/>
      </c:lineChart>
      <c:catAx>
        <c:axId val="8697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37535"/>
        <c:crosses val="autoZero"/>
        <c:auto val="1"/>
        <c:lblAlgn val="ctr"/>
        <c:lblOffset val="100"/>
        <c:noMultiLvlLbl val="0"/>
      </c:catAx>
      <c:valAx>
        <c:axId val="8697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73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Edad</a:t>
            </a:r>
            <a:r>
              <a:rPr lang="es-MX" baseline="0"/>
              <a:t> Quintana Roo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Cronologia!$BV$2</c:f>
              <c:strCache>
                <c:ptCount val="1"/>
                <c:pt idx="0">
                  <c:v>15-20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Cronologia!$BV$3:$BV$23</c:f>
              <c:numCache>
                <c:formatCode>General</c:formatCode>
                <c:ptCount val="21"/>
                <c:pt idx="0">
                  <c:v>8.1923670000000008</c:v>
                </c:pt>
                <c:pt idx="1">
                  <c:v>8.9253909999999994</c:v>
                </c:pt>
                <c:pt idx="2">
                  <c:v>9.107856</c:v>
                </c:pt>
                <c:pt idx="3">
                  <c:v>9.1383989999999997</c:v>
                </c:pt>
                <c:pt idx="4">
                  <c:v>8.0957989999999995</c:v>
                </c:pt>
                <c:pt idx="5">
                  <c:v>7.1529189999999998</c:v>
                </c:pt>
                <c:pt idx="6">
                  <c:v>7.3101779999999996</c:v>
                </c:pt>
                <c:pt idx="7">
                  <c:v>7.0339049999999999</c:v>
                </c:pt>
                <c:pt idx="8">
                  <c:v>6.6049879999999996</c:v>
                </c:pt>
                <c:pt idx="9">
                  <c:v>5.6873940000000003</c:v>
                </c:pt>
                <c:pt idx="10">
                  <c:v>5.5160140000000002</c:v>
                </c:pt>
                <c:pt idx="11">
                  <c:v>5.5800530000000004</c:v>
                </c:pt>
                <c:pt idx="12">
                  <c:v>5.2998029999999998</c:v>
                </c:pt>
                <c:pt idx="13">
                  <c:v>5.1825000000000001</c:v>
                </c:pt>
                <c:pt idx="14">
                  <c:v>4.7363010000000001</c:v>
                </c:pt>
                <c:pt idx="15">
                  <c:v>4.4935260000000001</c:v>
                </c:pt>
                <c:pt idx="16">
                  <c:v>4.2682359999999999</c:v>
                </c:pt>
                <c:pt idx="17">
                  <c:v>4.0422269999999996</c:v>
                </c:pt>
                <c:pt idx="18">
                  <c:v>4.7777960000000004</c:v>
                </c:pt>
                <c:pt idx="19">
                  <c:v>4.5377729999999996</c:v>
                </c:pt>
                <c:pt idx="20">
                  <c:v>4.3462639999999997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1-4A1D-BB32-190C916C77B0}"/>
            </c:ext>
          </c:extLst>
        </c:ser>
        <c:ser>
          <c:idx val="1"/>
          <c:order val="1"/>
          <c:tx>
            <c:strRef>
              <c:f>Cronologia!$BW$2</c:f>
              <c:strCache>
                <c:ptCount val="1"/>
                <c:pt idx="0">
                  <c:v>20-30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Cronologia!$BW$3:$BW$23</c:f>
              <c:numCache>
                <c:formatCode>General</c:formatCode>
                <c:ptCount val="21"/>
                <c:pt idx="0">
                  <c:v>30.085279</c:v>
                </c:pt>
                <c:pt idx="1">
                  <c:v>30.166898</c:v>
                </c:pt>
                <c:pt idx="2">
                  <c:v>30.672436999999999</c:v>
                </c:pt>
                <c:pt idx="3">
                  <c:v>31.33663</c:v>
                </c:pt>
                <c:pt idx="4">
                  <c:v>31.142520999999999</c:v>
                </c:pt>
                <c:pt idx="5">
                  <c:v>30.247299999999999</c:v>
                </c:pt>
                <c:pt idx="6">
                  <c:v>31.252019000000001</c:v>
                </c:pt>
                <c:pt idx="7">
                  <c:v>29.858532</c:v>
                </c:pt>
                <c:pt idx="8">
                  <c:v>28.576025999999999</c:v>
                </c:pt>
                <c:pt idx="9">
                  <c:v>29.490788999999999</c:v>
                </c:pt>
                <c:pt idx="10">
                  <c:v>28.995470999999998</c:v>
                </c:pt>
                <c:pt idx="11">
                  <c:v>29.239156999999999</c:v>
                </c:pt>
                <c:pt idx="12">
                  <c:v>28.464941</c:v>
                </c:pt>
                <c:pt idx="13">
                  <c:v>27.230782000000001</c:v>
                </c:pt>
                <c:pt idx="14">
                  <c:v>26.694078000000001</c:v>
                </c:pt>
                <c:pt idx="15">
                  <c:v>26.184311000000001</c:v>
                </c:pt>
                <c:pt idx="16">
                  <c:v>26.03904</c:v>
                </c:pt>
                <c:pt idx="17">
                  <c:v>25.877469999999999</c:v>
                </c:pt>
                <c:pt idx="18">
                  <c:v>24.890118999999999</c:v>
                </c:pt>
                <c:pt idx="19">
                  <c:v>23.947946999999999</c:v>
                </c:pt>
                <c:pt idx="20">
                  <c:v>23.599138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1-4A1D-BB32-190C916C77B0}"/>
            </c:ext>
          </c:extLst>
        </c:ser>
        <c:ser>
          <c:idx val="2"/>
          <c:order val="2"/>
          <c:tx>
            <c:strRef>
              <c:f>Cronologia!$BX$2</c:f>
              <c:strCache>
                <c:ptCount val="1"/>
                <c:pt idx="0">
                  <c:v>30-40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Cronologia!$BX$3:$BX$23</c:f>
              <c:numCache>
                <c:formatCode>General</c:formatCode>
                <c:ptCount val="21"/>
                <c:pt idx="0">
                  <c:v>30.735355999999999</c:v>
                </c:pt>
                <c:pt idx="1">
                  <c:v>29.619368000000001</c:v>
                </c:pt>
                <c:pt idx="2">
                  <c:v>27.869506999999999</c:v>
                </c:pt>
                <c:pt idx="3">
                  <c:v>27.087831999999999</c:v>
                </c:pt>
                <c:pt idx="4">
                  <c:v>25.740086000000002</c:v>
                </c:pt>
                <c:pt idx="5">
                  <c:v>25.755203999999999</c:v>
                </c:pt>
                <c:pt idx="6">
                  <c:v>24.386106999999999</c:v>
                </c:pt>
                <c:pt idx="7">
                  <c:v>25.053346999999999</c:v>
                </c:pt>
                <c:pt idx="8">
                  <c:v>27.457763</c:v>
                </c:pt>
                <c:pt idx="9">
                  <c:v>28.300217</c:v>
                </c:pt>
                <c:pt idx="10">
                  <c:v>27.588159000000001</c:v>
                </c:pt>
                <c:pt idx="11">
                  <c:v>27.427243000000001</c:v>
                </c:pt>
                <c:pt idx="12">
                  <c:v>28.571428999999998</c:v>
                </c:pt>
                <c:pt idx="13">
                  <c:v>27.889923</c:v>
                </c:pt>
                <c:pt idx="14">
                  <c:v>25.776864</c:v>
                </c:pt>
                <c:pt idx="15">
                  <c:v>25.894897</c:v>
                </c:pt>
                <c:pt idx="16">
                  <c:v>25.347902999999999</c:v>
                </c:pt>
                <c:pt idx="17">
                  <c:v>25.642876000000001</c:v>
                </c:pt>
                <c:pt idx="18">
                  <c:v>24.751750000000001</c:v>
                </c:pt>
                <c:pt idx="19">
                  <c:v>26.111205000000002</c:v>
                </c:pt>
                <c:pt idx="20">
                  <c:v>28.439295999999999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1-4A1D-BB32-190C916C77B0}"/>
            </c:ext>
          </c:extLst>
        </c:ser>
        <c:ser>
          <c:idx val="3"/>
          <c:order val="3"/>
          <c:tx>
            <c:strRef>
              <c:f>Cronologia!$BY$2</c:f>
              <c:strCache>
                <c:ptCount val="1"/>
                <c:pt idx="0">
                  <c:v>40-50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Cronologia!$BY$3:$BY$23</c:f>
              <c:numCache>
                <c:formatCode>General</c:formatCode>
                <c:ptCount val="21"/>
                <c:pt idx="0">
                  <c:v>19.956662000000001</c:v>
                </c:pt>
                <c:pt idx="1">
                  <c:v>20.186028</c:v>
                </c:pt>
                <c:pt idx="2">
                  <c:v>21.171771</c:v>
                </c:pt>
                <c:pt idx="3">
                  <c:v>20.742495000000002</c:v>
                </c:pt>
                <c:pt idx="4">
                  <c:v>21.751080000000002</c:v>
                </c:pt>
                <c:pt idx="5">
                  <c:v>22.405697</c:v>
                </c:pt>
                <c:pt idx="6">
                  <c:v>22.358643000000001</c:v>
                </c:pt>
                <c:pt idx="7">
                  <c:v>23.662372999999999</c:v>
                </c:pt>
                <c:pt idx="8">
                  <c:v>22.936444000000002</c:v>
                </c:pt>
                <c:pt idx="9">
                  <c:v>22.918510000000001</c:v>
                </c:pt>
                <c:pt idx="10">
                  <c:v>23.188289000000001</c:v>
                </c:pt>
                <c:pt idx="11">
                  <c:v>21.502445000000002</c:v>
                </c:pt>
                <c:pt idx="12">
                  <c:v>21.748034000000001</c:v>
                </c:pt>
                <c:pt idx="13">
                  <c:v>21.463294000000001</c:v>
                </c:pt>
                <c:pt idx="14">
                  <c:v>22.448011000000001</c:v>
                </c:pt>
                <c:pt idx="15">
                  <c:v>23.229246</c:v>
                </c:pt>
                <c:pt idx="16">
                  <c:v>23.592043</c:v>
                </c:pt>
                <c:pt idx="17">
                  <c:v>22.845800000000001</c:v>
                </c:pt>
                <c:pt idx="18">
                  <c:v>23.262250000000002</c:v>
                </c:pt>
                <c:pt idx="19">
                  <c:v>23.026872000000001</c:v>
                </c:pt>
                <c:pt idx="20">
                  <c:v>23.446480000000001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C1-4A1D-BB32-190C916C77B0}"/>
            </c:ext>
          </c:extLst>
        </c:ser>
        <c:ser>
          <c:idx val="4"/>
          <c:order val="4"/>
          <c:tx>
            <c:strRef>
              <c:f>Cronologia!$BZ$2</c:f>
              <c:strCache>
                <c:ptCount val="1"/>
                <c:pt idx="0">
                  <c:v>50-60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Cronologia!$BZ$3:$BZ$23</c:f>
              <c:numCache>
                <c:formatCode>General</c:formatCode>
                <c:ptCount val="21"/>
                <c:pt idx="0">
                  <c:v>8.2832380000000008</c:v>
                </c:pt>
                <c:pt idx="1">
                  <c:v>8.2129429999999992</c:v>
                </c:pt>
                <c:pt idx="2">
                  <c:v>8.5352859999999993</c:v>
                </c:pt>
                <c:pt idx="3">
                  <c:v>8.8319290000000006</c:v>
                </c:pt>
                <c:pt idx="4">
                  <c:v>10.098155</c:v>
                </c:pt>
                <c:pt idx="5">
                  <c:v>10.658944999999999</c:v>
                </c:pt>
                <c:pt idx="6">
                  <c:v>10.767367</c:v>
                </c:pt>
                <c:pt idx="7">
                  <c:v>10.795859</c:v>
                </c:pt>
                <c:pt idx="8">
                  <c:v>10.539019</c:v>
                </c:pt>
                <c:pt idx="9">
                  <c:v>9.9991959999999995</c:v>
                </c:pt>
                <c:pt idx="10">
                  <c:v>10.894532999999999</c:v>
                </c:pt>
                <c:pt idx="11">
                  <c:v>11.873647</c:v>
                </c:pt>
                <c:pt idx="12">
                  <c:v>11.623526</c:v>
                </c:pt>
                <c:pt idx="13">
                  <c:v>13.298178999999999</c:v>
                </c:pt>
                <c:pt idx="14">
                  <c:v>14.841464</c:v>
                </c:pt>
                <c:pt idx="15">
                  <c:v>15.460777</c:v>
                </c:pt>
                <c:pt idx="16">
                  <c:v>15.345101</c:v>
                </c:pt>
                <c:pt idx="17">
                  <c:v>15.997474</c:v>
                </c:pt>
                <c:pt idx="18">
                  <c:v>15.879863</c:v>
                </c:pt>
                <c:pt idx="19">
                  <c:v>15.869528000000001</c:v>
                </c:pt>
                <c:pt idx="20">
                  <c:v>14.538434000000001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1-4A1D-BB32-190C916C77B0}"/>
            </c:ext>
          </c:extLst>
        </c:ser>
        <c:ser>
          <c:idx val="5"/>
          <c:order val="5"/>
          <c:tx>
            <c:strRef>
              <c:f>Cronologia!$CA$2</c:f>
              <c:strCache>
                <c:ptCount val="1"/>
                <c:pt idx="0">
                  <c:v>60+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Cronologia!$BU$3:$BU$23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Cronologia!$CA$3:$CA$23</c:f>
              <c:numCache>
                <c:formatCode>General</c:formatCode>
                <c:ptCount val="21"/>
                <c:pt idx="0">
                  <c:v>2.747099</c:v>
                </c:pt>
                <c:pt idx="1">
                  <c:v>2.889373</c:v>
                </c:pt>
                <c:pt idx="2">
                  <c:v>2.6431420000000001</c:v>
                </c:pt>
                <c:pt idx="3">
                  <c:v>2.8627150000000001</c:v>
                </c:pt>
                <c:pt idx="4">
                  <c:v>3.1723599999999998</c:v>
                </c:pt>
                <c:pt idx="5">
                  <c:v>3.7799339999999999</c:v>
                </c:pt>
                <c:pt idx="6">
                  <c:v>3.9256869999999999</c:v>
                </c:pt>
                <c:pt idx="7">
                  <c:v>3.5959850000000002</c:v>
                </c:pt>
                <c:pt idx="8">
                  <c:v>3.8857599999999999</c:v>
                </c:pt>
                <c:pt idx="9">
                  <c:v>3.6038929999999998</c:v>
                </c:pt>
                <c:pt idx="10">
                  <c:v>3.8175349999999999</c:v>
                </c:pt>
                <c:pt idx="11">
                  <c:v>4.3774550000000003</c:v>
                </c:pt>
                <c:pt idx="12">
                  <c:v>4.2922669999999998</c:v>
                </c:pt>
                <c:pt idx="13">
                  <c:v>4.9353220000000002</c:v>
                </c:pt>
                <c:pt idx="14">
                  <c:v>5.5032810000000003</c:v>
                </c:pt>
                <c:pt idx="15">
                  <c:v>4.7372430000000003</c:v>
                </c:pt>
                <c:pt idx="16">
                  <c:v>5.4076769999999996</c:v>
                </c:pt>
                <c:pt idx="17">
                  <c:v>5.5941530000000004</c:v>
                </c:pt>
                <c:pt idx="18">
                  <c:v>6.4382219999999997</c:v>
                </c:pt>
                <c:pt idx="19">
                  <c:v>6.5066759999999997</c:v>
                </c:pt>
                <c:pt idx="20">
                  <c:v>5.6303879999999999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C1-4A1D-BB32-190C916C7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45503"/>
        <c:axId val="955652703"/>
      </c:lineChart>
      <c:catAx>
        <c:axId val="95564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52703"/>
        <c:crosses val="autoZero"/>
        <c:auto val="1"/>
        <c:lblAlgn val="ctr"/>
        <c:lblOffset val="100"/>
        <c:noMultiLvlLbl val="0"/>
      </c:catAx>
      <c:valAx>
        <c:axId val="9556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4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Escolaridad</a:t>
            </a:r>
            <a:r>
              <a:rPr lang="es-MX" baseline="0"/>
              <a:t> Quintana Roo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Cronologia!$CD$2</c:f>
              <c:strCache>
                <c:ptCount val="1"/>
                <c:pt idx="0">
                  <c:v>Basico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Cronologia!$CC$3:$CC$23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Cronologia!$CD$3:$CD$23</c:f>
              <c:numCache>
                <c:formatCode>General</c:formatCode>
                <c:ptCount val="21"/>
                <c:pt idx="0">
                  <c:v>60.764713999999998</c:v>
                </c:pt>
                <c:pt idx="1">
                  <c:v>59.779668999999998</c:v>
                </c:pt>
                <c:pt idx="2">
                  <c:v>59.420771999999999</c:v>
                </c:pt>
                <c:pt idx="3">
                  <c:v>58.675210999999997</c:v>
                </c:pt>
                <c:pt idx="4">
                  <c:v>57.746367999999997</c:v>
                </c:pt>
                <c:pt idx="5">
                  <c:v>57.254655999999997</c:v>
                </c:pt>
                <c:pt idx="6">
                  <c:v>57.261712000000003</c:v>
                </c:pt>
                <c:pt idx="7">
                  <c:v>55.970916000000003</c:v>
                </c:pt>
                <c:pt idx="8">
                  <c:v>55.237329000000003</c:v>
                </c:pt>
                <c:pt idx="9">
                  <c:v>56.109726000000002</c:v>
                </c:pt>
                <c:pt idx="10">
                  <c:v>54.100614999999998</c:v>
                </c:pt>
                <c:pt idx="11">
                  <c:v>53.459471999999998</c:v>
                </c:pt>
                <c:pt idx="12">
                  <c:v>51.982306999999999</c:v>
                </c:pt>
                <c:pt idx="13">
                  <c:v>50.102991000000003</c:v>
                </c:pt>
                <c:pt idx="14">
                  <c:v>48.636040000000001</c:v>
                </c:pt>
                <c:pt idx="15">
                  <c:v>48.484386999999998</c:v>
                </c:pt>
                <c:pt idx="16">
                  <c:v>46.913234000000003</c:v>
                </c:pt>
                <c:pt idx="17">
                  <c:v>45.538212000000001</c:v>
                </c:pt>
                <c:pt idx="18">
                  <c:v>45.555917000000001</c:v>
                </c:pt>
                <c:pt idx="19">
                  <c:v>45.284773000000001</c:v>
                </c:pt>
                <c:pt idx="20">
                  <c:v>43.408763999999998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1-4C29-9F89-38AAB29410A1}"/>
            </c:ext>
          </c:extLst>
        </c:ser>
        <c:ser>
          <c:idx val="1"/>
          <c:order val="1"/>
          <c:tx>
            <c:strRef>
              <c:f>Cronologia!$CE$2</c:f>
              <c:strCache>
                <c:ptCount val="1"/>
                <c:pt idx="0">
                  <c:v>Media superior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Cronologia!$CC$3:$CC$23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Cronologia!$CE$3:$CE$23</c:f>
              <c:numCache>
                <c:formatCode>General</c:formatCode>
                <c:ptCount val="21"/>
                <c:pt idx="0">
                  <c:v>26.688103000000002</c:v>
                </c:pt>
                <c:pt idx="1">
                  <c:v>25.535985</c:v>
                </c:pt>
                <c:pt idx="2">
                  <c:v>25.252996</c:v>
                </c:pt>
                <c:pt idx="3">
                  <c:v>26.676881999999999</c:v>
                </c:pt>
                <c:pt idx="4">
                  <c:v>27.522576000000001</c:v>
                </c:pt>
                <c:pt idx="5">
                  <c:v>27.046486000000002</c:v>
                </c:pt>
                <c:pt idx="6">
                  <c:v>27.366720999999998</c:v>
                </c:pt>
                <c:pt idx="7">
                  <c:v>27.795780000000001</c:v>
                </c:pt>
                <c:pt idx="8">
                  <c:v>28.189862999999999</c:v>
                </c:pt>
                <c:pt idx="9">
                  <c:v>29.128791</c:v>
                </c:pt>
                <c:pt idx="10">
                  <c:v>29.723389999999998</c:v>
                </c:pt>
                <c:pt idx="11">
                  <c:v>28.645875</c:v>
                </c:pt>
                <c:pt idx="12">
                  <c:v>29.611730000000001</c:v>
                </c:pt>
                <c:pt idx="13">
                  <c:v>30.921973999999999</c:v>
                </c:pt>
                <c:pt idx="14">
                  <c:v>32.007590999999998</c:v>
                </c:pt>
                <c:pt idx="15">
                  <c:v>31.089109000000001</c:v>
                </c:pt>
                <c:pt idx="16">
                  <c:v>31.465395999999998</c:v>
                </c:pt>
                <c:pt idx="17">
                  <c:v>32.328792</c:v>
                </c:pt>
                <c:pt idx="18">
                  <c:v>32.085299999999997</c:v>
                </c:pt>
                <c:pt idx="19">
                  <c:v>32.524928000000003</c:v>
                </c:pt>
                <c:pt idx="20">
                  <c:v>34.024783999999997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11-4C29-9F89-38AAB29410A1}"/>
            </c:ext>
          </c:extLst>
        </c:ser>
        <c:ser>
          <c:idx val="2"/>
          <c:order val="2"/>
          <c:tx>
            <c:strRef>
              <c:f>Cronologia!$CF$2</c:f>
              <c:strCache>
                <c:ptCount val="1"/>
                <c:pt idx="0">
                  <c:v>Superior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Cronologia!$CC$3:$CC$23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Cronologia!$CF$3:$CF$23</c:f>
              <c:numCache>
                <c:formatCode>General</c:formatCode>
                <c:ptCount val="21"/>
                <c:pt idx="0">
                  <c:v>11.708373999999999</c:v>
                </c:pt>
                <c:pt idx="1">
                  <c:v>13.872947</c:v>
                </c:pt>
                <c:pt idx="2">
                  <c:v>14.573900999999999</c:v>
                </c:pt>
                <c:pt idx="3">
                  <c:v>13.714563999999999</c:v>
                </c:pt>
                <c:pt idx="4">
                  <c:v>13.68669</c:v>
                </c:pt>
                <c:pt idx="5">
                  <c:v>14.509313000000001</c:v>
                </c:pt>
                <c:pt idx="6">
                  <c:v>14.289175999999999</c:v>
                </c:pt>
                <c:pt idx="7">
                  <c:v>14.905556000000001</c:v>
                </c:pt>
                <c:pt idx="8">
                  <c:v>15.333869999999999</c:v>
                </c:pt>
                <c:pt idx="9">
                  <c:v>13.908776</c:v>
                </c:pt>
                <c:pt idx="10">
                  <c:v>15.286315</c:v>
                </c:pt>
                <c:pt idx="11">
                  <c:v>16.852401</c:v>
                </c:pt>
                <c:pt idx="12">
                  <c:v>17.463958000000002</c:v>
                </c:pt>
                <c:pt idx="13">
                  <c:v>17.780341</c:v>
                </c:pt>
                <c:pt idx="14">
                  <c:v>18.114968000000001</c:v>
                </c:pt>
                <c:pt idx="15">
                  <c:v>19.086061999999998</c:v>
                </c:pt>
                <c:pt idx="16">
                  <c:v>20.565985000000001</c:v>
                </c:pt>
                <c:pt idx="17">
                  <c:v>20.761527000000001</c:v>
                </c:pt>
                <c:pt idx="18">
                  <c:v>20.877420999999998</c:v>
                </c:pt>
                <c:pt idx="19">
                  <c:v>20.846713000000001</c:v>
                </c:pt>
                <c:pt idx="20">
                  <c:v>21.138649000000001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1-4C29-9F89-38AAB29410A1}"/>
            </c:ext>
          </c:extLst>
        </c:ser>
        <c:ser>
          <c:idx val="3"/>
          <c:order val="3"/>
          <c:tx>
            <c:strRef>
              <c:f>Cronologia!$CG$2</c:f>
              <c:strCache>
                <c:ptCount val="1"/>
                <c:pt idx="0">
                  <c:v>Posgrado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Cronologia!$CC$3:$CC$23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Cronologia!$CG$3:$CG$23</c:f>
              <c:numCache>
                <c:formatCode>General</c:formatCode>
                <c:ptCount val="21"/>
                <c:pt idx="0">
                  <c:v>0.83880900000000003</c:v>
                </c:pt>
                <c:pt idx="1">
                  <c:v>0.81139899999999998</c:v>
                </c:pt>
                <c:pt idx="2">
                  <c:v>0.75233000000000005</c:v>
                </c:pt>
                <c:pt idx="3">
                  <c:v>0.93334300000000003</c:v>
                </c:pt>
                <c:pt idx="4">
                  <c:v>1.0443659999999999</c:v>
                </c:pt>
                <c:pt idx="5">
                  <c:v>1.1895450000000001</c:v>
                </c:pt>
                <c:pt idx="6">
                  <c:v>1.0823910000000001</c:v>
                </c:pt>
                <c:pt idx="7">
                  <c:v>1.3277479999999999</c:v>
                </c:pt>
                <c:pt idx="8">
                  <c:v>1.2389380000000001</c:v>
                </c:pt>
                <c:pt idx="9">
                  <c:v>0.85270699999999999</c:v>
                </c:pt>
                <c:pt idx="10">
                  <c:v>0.88968000000000003</c:v>
                </c:pt>
                <c:pt idx="11">
                  <c:v>1.042251</c:v>
                </c:pt>
                <c:pt idx="12">
                  <c:v>0.94200499999999998</c:v>
                </c:pt>
                <c:pt idx="13">
                  <c:v>1.1946939999999999</c:v>
                </c:pt>
                <c:pt idx="14">
                  <c:v>1.241401</c:v>
                </c:pt>
                <c:pt idx="15">
                  <c:v>1.3404419999999999</c:v>
                </c:pt>
                <c:pt idx="16">
                  <c:v>1.0553840000000001</c:v>
                </c:pt>
                <c:pt idx="17">
                  <c:v>1.37147</c:v>
                </c:pt>
                <c:pt idx="18">
                  <c:v>1.4813609999999999</c:v>
                </c:pt>
                <c:pt idx="19">
                  <c:v>1.3435859999999999</c:v>
                </c:pt>
                <c:pt idx="20">
                  <c:v>1.427802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11-4C29-9F89-38AAB2941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831615"/>
        <c:axId val="869835455"/>
      </c:lineChart>
      <c:catAx>
        <c:axId val="86983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835455"/>
        <c:crosses val="autoZero"/>
        <c:auto val="1"/>
        <c:lblAlgn val="ctr"/>
        <c:lblOffset val="100"/>
        <c:noMultiLvlLbl val="0"/>
      </c:catAx>
      <c:valAx>
        <c:axId val="8698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6983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Informalidad</a:t>
            </a:r>
            <a:r>
              <a:rPr lang="es-MX" baseline="0"/>
              <a:t> Quintana Roo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Cronologia!$CJ$2</c:f>
              <c:strCache>
                <c:ptCount val="1"/>
                <c:pt idx="0">
                  <c:v>Informal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Cronologia!$CI$3:$CI$23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Cronologia!$CJ$3:$CJ$23</c:f>
              <c:numCache>
                <c:formatCode>General</c:formatCode>
                <c:ptCount val="21"/>
                <c:pt idx="0">
                  <c:v>44.680554000000001</c:v>
                </c:pt>
                <c:pt idx="1">
                  <c:v>45.339402</c:v>
                </c:pt>
                <c:pt idx="2">
                  <c:v>45.565911999999997</c:v>
                </c:pt>
                <c:pt idx="3">
                  <c:v>45.281047999999998</c:v>
                </c:pt>
                <c:pt idx="4">
                  <c:v>47.522576000000001</c:v>
                </c:pt>
                <c:pt idx="5">
                  <c:v>47.558303000000002</c:v>
                </c:pt>
                <c:pt idx="6">
                  <c:v>48.578352000000002</c:v>
                </c:pt>
                <c:pt idx="7">
                  <c:v>49.395400000000002</c:v>
                </c:pt>
                <c:pt idx="8">
                  <c:v>46.500402000000001</c:v>
                </c:pt>
                <c:pt idx="9">
                  <c:v>44.437294000000001</c:v>
                </c:pt>
                <c:pt idx="10">
                  <c:v>44.022970000000001</c:v>
                </c:pt>
                <c:pt idx="11">
                  <c:v>45.770865000000001</c:v>
                </c:pt>
                <c:pt idx="12">
                  <c:v>46.633355000000002</c:v>
                </c:pt>
                <c:pt idx="13">
                  <c:v>45.390129000000002</c:v>
                </c:pt>
                <c:pt idx="14">
                  <c:v>44.650905000000002</c:v>
                </c:pt>
                <c:pt idx="15">
                  <c:v>45.498857999999998</c:v>
                </c:pt>
                <c:pt idx="16">
                  <c:v>44.130007999999997</c:v>
                </c:pt>
                <c:pt idx="17">
                  <c:v>44.256970000000003</c:v>
                </c:pt>
                <c:pt idx="18">
                  <c:v>45.311737000000001</c:v>
                </c:pt>
                <c:pt idx="19">
                  <c:v>43.307419000000003</c:v>
                </c:pt>
                <c:pt idx="20">
                  <c:v>42.537716000000003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4-4115-843F-66D10DB95976}"/>
            </c:ext>
          </c:extLst>
        </c:ser>
        <c:ser>
          <c:idx val="1"/>
          <c:order val="1"/>
          <c:tx>
            <c:strRef>
              <c:f>Cronologia!$CK$2</c:f>
              <c:strCache>
                <c:ptCount val="1"/>
                <c:pt idx="0">
                  <c:v>Formal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Cronologia!$CI$3:$CI$23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Cronologia!$CK$3:$CK$23</c:f>
              <c:numCache>
                <c:formatCode>General</c:formatCode>
                <c:ptCount val="21"/>
                <c:pt idx="0">
                  <c:v>55.319445999999999</c:v>
                </c:pt>
                <c:pt idx="1">
                  <c:v>54.660598</c:v>
                </c:pt>
                <c:pt idx="2">
                  <c:v>54.434088000000003</c:v>
                </c:pt>
                <c:pt idx="3">
                  <c:v>54.718952000000002</c:v>
                </c:pt>
                <c:pt idx="4">
                  <c:v>52.477423999999999</c:v>
                </c:pt>
                <c:pt idx="5">
                  <c:v>52.441696999999998</c:v>
                </c:pt>
                <c:pt idx="6">
                  <c:v>51.421647999999998</c:v>
                </c:pt>
                <c:pt idx="7">
                  <c:v>50.604599999999998</c:v>
                </c:pt>
                <c:pt idx="8">
                  <c:v>53.499597999999999</c:v>
                </c:pt>
                <c:pt idx="9">
                  <c:v>55.562705999999999</c:v>
                </c:pt>
                <c:pt idx="10">
                  <c:v>55.977029999999999</c:v>
                </c:pt>
                <c:pt idx="11">
                  <c:v>54.229134999999999</c:v>
                </c:pt>
                <c:pt idx="12">
                  <c:v>53.366644999999998</c:v>
                </c:pt>
                <c:pt idx="13">
                  <c:v>54.609870999999998</c:v>
                </c:pt>
                <c:pt idx="14">
                  <c:v>55.349094999999998</c:v>
                </c:pt>
                <c:pt idx="15">
                  <c:v>54.501142000000002</c:v>
                </c:pt>
                <c:pt idx="16">
                  <c:v>55.869992000000003</c:v>
                </c:pt>
                <c:pt idx="17">
                  <c:v>55.743029999999997</c:v>
                </c:pt>
                <c:pt idx="18">
                  <c:v>54.688262999999999</c:v>
                </c:pt>
                <c:pt idx="19">
                  <c:v>56.692580999999997</c:v>
                </c:pt>
                <c:pt idx="20">
                  <c:v>57.462283999999997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4-4115-843F-66D10DB95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639743"/>
        <c:axId val="955637823"/>
      </c:lineChart>
      <c:catAx>
        <c:axId val="9556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37823"/>
        <c:crosses val="autoZero"/>
        <c:auto val="1"/>
        <c:lblAlgn val="ctr"/>
        <c:lblOffset val="100"/>
        <c:noMultiLvlLbl val="0"/>
      </c:catAx>
      <c:valAx>
        <c:axId val="95563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56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23131</xdr:rowOff>
    </xdr:from>
    <xdr:to>
      <xdr:col>5</xdr:col>
      <xdr:colOff>540884</xdr:colOff>
      <xdr:row>38</xdr:row>
      <xdr:rowOff>146956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ACDEFF-7CA0-EAA7-5CB9-5D0812727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503465</xdr:colOff>
      <xdr:row>23</xdr:row>
      <xdr:rowOff>176212</xdr:rowOff>
    </xdr:from>
    <xdr:to>
      <xdr:col>11</xdr:col>
      <xdr:colOff>244929</xdr:colOff>
      <xdr:row>38</xdr:row>
      <xdr:rowOff>112938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F41124-57E2-7A12-7999-5B1F85F14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265339</xdr:colOff>
      <xdr:row>24</xdr:row>
      <xdr:rowOff>6123</xdr:rowOff>
    </xdr:from>
    <xdr:to>
      <xdr:col>17</xdr:col>
      <xdr:colOff>40821</xdr:colOff>
      <xdr:row>38</xdr:row>
      <xdr:rowOff>129948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059A86-6CC4-2884-7E94-E25224355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758598</xdr:colOff>
      <xdr:row>24</xdr:row>
      <xdr:rowOff>6123</xdr:rowOff>
    </xdr:from>
    <xdr:to>
      <xdr:col>23</xdr:col>
      <xdr:colOff>534080</xdr:colOff>
      <xdr:row>38</xdr:row>
      <xdr:rowOff>129948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3A9E39-688B-A42C-A030-FCFBA690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554492</xdr:colOff>
      <xdr:row>23</xdr:row>
      <xdr:rowOff>176213</xdr:rowOff>
    </xdr:from>
    <xdr:to>
      <xdr:col>29</xdr:col>
      <xdr:colOff>346984</xdr:colOff>
      <xdr:row>38</xdr:row>
      <xdr:rowOff>112939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9BBE88E-2091-78DF-EA89-C274AD024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248331</xdr:colOff>
      <xdr:row>24</xdr:row>
      <xdr:rowOff>6123</xdr:rowOff>
    </xdr:from>
    <xdr:to>
      <xdr:col>35</xdr:col>
      <xdr:colOff>23813</xdr:colOff>
      <xdr:row>38</xdr:row>
      <xdr:rowOff>129948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AAA9D2-6CAB-AC7C-0433-C03759BB0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724580</xdr:colOff>
      <xdr:row>24</xdr:row>
      <xdr:rowOff>6122</xdr:rowOff>
    </xdr:from>
    <xdr:to>
      <xdr:col>41</xdr:col>
      <xdr:colOff>500062</xdr:colOff>
      <xdr:row>38</xdr:row>
      <xdr:rowOff>129947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0F12A1-F743-F54E-D4D2-D9A9884DA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503465</xdr:colOff>
      <xdr:row>24</xdr:row>
      <xdr:rowOff>6122</xdr:rowOff>
    </xdr:from>
    <xdr:to>
      <xdr:col>47</xdr:col>
      <xdr:colOff>295956</xdr:colOff>
      <xdr:row>38</xdr:row>
      <xdr:rowOff>129947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B952142-4A64-9166-0D8B-DC70FF8F3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282349</xdr:colOff>
      <xdr:row>24</xdr:row>
      <xdr:rowOff>6123</xdr:rowOff>
    </xdr:from>
    <xdr:to>
      <xdr:col>53</xdr:col>
      <xdr:colOff>57831</xdr:colOff>
      <xdr:row>38</xdr:row>
      <xdr:rowOff>129948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EFFDF8F-FD69-C53B-E9EA-351D27CC4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758597</xdr:colOff>
      <xdr:row>24</xdr:row>
      <xdr:rowOff>23131</xdr:rowOff>
    </xdr:from>
    <xdr:to>
      <xdr:col>59</xdr:col>
      <xdr:colOff>534079</xdr:colOff>
      <xdr:row>38</xdr:row>
      <xdr:rowOff>146956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A751A60-89EB-856D-EB9E-F27F755D8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59</xdr:col>
      <xdr:colOff>537481</xdr:colOff>
      <xdr:row>24</xdr:row>
      <xdr:rowOff>6123</xdr:rowOff>
    </xdr:from>
    <xdr:to>
      <xdr:col>65</xdr:col>
      <xdr:colOff>329972</xdr:colOff>
      <xdr:row>38</xdr:row>
      <xdr:rowOff>129948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082DA5A-A4F7-EA3C-73BD-65A91237A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65</xdr:col>
      <xdr:colOff>333375</xdr:colOff>
      <xdr:row>24</xdr:row>
      <xdr:rowOff>6122</xdr:rowOff>
    </xdr:from>
    <xdr:to>
      <xdr:col>71</xdr:col>
      <xdr:colOff>108857</xdr:colOff>
      <xdr:row>38</xdr:row>
      <xdr:rowOff>129947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68372E7-C7B3-6C23-9CF5-04ADCE772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71</xdr:col>
      <xdr:colOff>741588</xdr:colOff>
      <xdr:row>24</xdr:row>
      <xdr:rowOff>23131</xdr:rowOff>
    </xdr:from>
    <xdr:to>
      <xdr:col>77</xdr:col>
      <xdr:colOff>517071</xdr:colOff>
      <xdr:row>38</xdr:row>
      <xdr:rowOff>146956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7966992-C6DA-FEFB-E573-D8A39B758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77</xdr:col>
      <xdr:colOff>520474</xdr:colOff>
      <xdr:row>24</xdr:row>
      <xdr:rowOff>6123</xdr:rowOff>
    </xdr:from>
    <xdr:to>
      <xdr:col>83</xdr:col>
      <xdr:colOff>312965</xdr:colOff>
      <xdr:row>38</xdr:row>
      <xdr:rowOff>129948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6D3560B-3175-63A1-A8DA-335E8EB5A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83</xdr:col>
      <xdr:colOff>282349</xdr:colOff>
      <xdr:row>24</xdr:row>
      <xdr:rowOff>6123</xdr:rowOff>
    </xdr:from>
    <xdr:to>
      <xdr:col>89</xdr:col>
      <xdr:colOff>57831</xdr:colOff>
      <xdr:row>38</xdr:row>
      <xdr:rowOff>129948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D367ECA-D1B1-CF73-669B-103B6F43A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BB3FDD-52CC-47BF-B6EB-A6B5111A241D}" name="Tabla7" displayName="Tabla7" ref="A1:G23" totalsRowCount="1" headerRowDxfId="39" dataDxfId="38">
  <autoFilter ref="A1:G22" xr:uid="{FCBB3FDD-52CC-47BF-B6EB-A6B5111A241D}"/>
  <tableColumns count="7">
    <tableColumn id="1" xr3:uid="{8F8DC7FA-CFA5-40C4-A756-5FA5FF6D224C}" name="Año" totalsRowLabel="Total" dataDxfId="37" totalsRowDxfId="7"/>
    <tableColumn id="2" xr3:uid="{7EE42BB7-AAEA-45FE-9572-713C93AC5CFF}" name="Nuevo Leon" totalsRowFunction="sum" dataDxfId="36" totalsRowDxfId="6"/>
    <tableColumn id="3" xr3:uid="{E379E300-E944-45EE-8A15-16C50D986FAC}" name="Coahuila" totalsRowFunction="sum" dataDxfId="35" totalsRowDxfId="5"/>
    <tableColumn id="4" xr3:uid="{C27CE841-B1CB-49E2-995F-53B6DF4D4F7C}" name="CDMX" totalsRowFunction="sum" dataDxfId="34" totalsRowDxfId="4"/>
    <tableColumn id="5" xr3:uid="{411C2139-8280-4E47-A65A-8C56D5E0035D}" name="Quintana Roo" totalsRowFunction="sum" dataDxfId="33" totalsRowDxfId="3"/>
    <tableColumn id="6" xr3:uid="{359F7F0A-3607-4945-8679-490C6684CED3}" name="Chiapas" totalsRowFunction="sum" dataDxfId="32" totalsRowDxfId="2"/>
    <tableColumn id="7" xr3:uid="{8AD79724-5B44-41FD-83E9-B565CA7D996A}" name="Columna1" totalsRowFunction="custom" dataDxfId="1" totalsRowDxfId="0">
      <totalsRowFormula>SUM(Tabla7[[#Totals],[Nuevo Leon]:[Chiapas]])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898FEB-9F0F-482D-8036-28F6E2A6CAE6}" name="Tabla1" displayName="Tabla1" ref="A2:J24" totalsRowCount="1" headerRowDxfId="154" dataDxfId="153" totalsRowDxfId="152">
  <autoFilter ref="A2:J23" xr:uid="{E4898FEB-9F0F-482D-8036-28F6E2A6CAE6}"/>
  <tableColumns count="10">
    <tableColumn id="1" xr3:uid="{AC08DCA4-6A53-41BA-8772-B962C51C1218}" name="Año" totalsRowLabel="Total" dataDxfId="151" totalsRowDxfId="150"/>
    <tableColumn id="2" xr3:uid="{AACBA439-7862-434B-B1B2-DBAAF7026D45}" name="Escolaridad" totalsRowFunction="average" dataDxfId="149" totalsRowDxfId="148"/>
    <tableColumn id="3" xr3:uid="{DAE47917-1478-480E-9B37-C808A4D5FE53}" name="Edad" totalsRowFunction="average" dataDxfId="147" totalsRowDxfId="146"/>
    <tableColumn id="4" xr3:uid="{C96452B0-C456-4A1D-8DBE-F66E187427B3}" name="Sexo" totalsRowFunction="average" dataDxfId="145" totalsRowDxfId="144"/>
    <tableColumn id="5" xr3:uid="{723A4271-DE73-4406-BBD6-6BAD244D37E2}" name="Estado Conyugal" totalsRowFunction="average" dataDxfId="143" totalsRowDxfId="142"/>
    <tableColumn id="6" xr3:uid="{1BF1904D-5D17-4BA6-95A2-AFE9E34525A4}" name="Sector Actividad Economica" totalsRowFunction="average" dataDxfId="141" totalsRowDxfId="140"/>
    <tableColumn id="7" xr3:uid="{022009B9-AD5A-406F-A1E6-27906D56362B}" name="Tamaño de Unidad Economica" totalsRowFunction="average" dataDxfId="139" totalsRowDxfId="138"/>
    <tableColumn id="8" xr3:uid="{0DCBD60D-73DD-4C2F-AE07-CEAC81518169}" name="Informalidad Laboral" totalsRowFunction="average" dataDxfId="137" totalsRowDxfId="136"/>
    <tableColumn id="9" xr3:uid="{1FEB21CE-6205-46D3-95C3-A72596F41376}" name="Posicion por Ocupacion" totalsRowFunction="average" dataDxfId="135" totalsRowDxfId="134"/>
    <tableColumn id="10" xr3:uid="{97C640DB-9B5B-4131-8235-662C5C86EB71}" name="Horas Trabajadas" totalsRowFunction="average" dataDxfId="133" totalsRowDxfId="13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27340-AEE1-4DA8-9EA8-A34FC924DF8E}" name="Tabla2" displayName="Tabla2" ref="M2:V24" totalsRowCount="1" headerRowDxfId="131" dataDxfId="130" totalsRowDxfId="129">
  <autoFilter ref="M2:V23" xr:uid="{FCE27340-AEE1-4DA8-9EA8-A34FC924DF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BFE7D27-8689-4BB7-9ECA-82803A827A05}" name="Año" totalsRowLabel="Total" dataDxfId="128" totalsRowDxfId="127"/>
    <tableColumn id="2" xr3:uid="{EDB3DBB9-4862-46DB-A281-2546F740AFBB}" name="Escolaridad" totalsRowFunction="average" dataDxfId="126" totalsRowDxfId="125"/>
    <tableColumn id="3" xr3:uid="{392AFA53-1C04-46B5-9552-3127B4A70DDE}" name="Edad" totalsRowFunction="average" dataDxfId="124" totalsRowDxfId="123"/>
    <tableColumn id="4" xr3:uid="{D82F6048-EC8C-4682-916D-7E4CB69523B1}" name="Sexo" totalsRowFunction="average" dataDxfId="122" totalsRowDxfId="121"/>
    <tableColumn id="5" xr3:uid="{95949E79-96F4-4C3D-B1AB-FAED48B1398C}" name="Estado Conyugal" totalsRowFunction="average" dataDxfId="120" totalsRowDxfId="119"/>
    <tableColumn id="6" xr3:uid="{8DB6CA69-312D-4DE1-99B8-14370613D4EA}" name="Sector Actividad Economica" totalsRowFunction="average" dataDxfId="118" totalsRowDxfId="117"/>
    <tableColumn id="7" xr3:uid="{9DEDA8B0-12EF-4037-B4E4-7FC166106281}" name="Tamaño de Unidad Economica" totalsRowFunction="average" dataDxfId="116" totalsRowDxfId="115"/>
    <tableColumn id="8" xr3:uid="{5D939DA2-1BC7-42AF-9E6A-5566A7703DA0}" name="Informalidad Laboral" totalsRowFunction="average" dataDxfId="114" totalsRowDxfId="113"/>
    <tableColumn id="9" xr3:uid="{D23D0526-E47E-4653-82F5-BF175D848954}" name="Posicion por Ocupacion" totalsRowFunction="average" dataDxfId="112" totalsRowDxfId="111"/>
    <tableColumn id="10" xr3:uid="{4F8A7E0D-5512-4445-93B9-4D43BAE9BA09}" name="Horas Trabajadas" totalsRowFunction="average" dataDxfId="110" totalsRowDxfId="10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50FD24-3536-4AAD-B6AF-ADD5BE2B90FB}" name="Tabla3" displayName="Tabla3" ref="Y2:AH24" totalsRowCount="1" headerRowDxfId="108" dataDxfId="107" totalsRowDxfId="106">
  <autoFilter ref="Y2:AH23" xr:uid="{ED50FD24-3536-4AAD-B6AF-ADD5BE2B90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977AA16-A67C-4787-BB00-EB46F3B14BF9}" name="Año" totalsRowLabel="Total" dataDxfId="105" totalsRowDxfId="104"/>
    <tableColumn id="2" xr3:uid="{DC966B5F-71BA-4F82-80B5-9CA4B2C7AD37}" name="Escolaridad" totalsRowFunction="average" dataDxfId="103" totalsRowDxfId="102"/>
    <tableColumn id="3" xr3:uid="{79431F63-A522-4E68-AC6B-EE54E8CB9A27}" name="Edad" totalsRowFunction="average" dataDxfId="101" totalsRowDxfId="100"/>
    <tableColumn id="4" xr3:uid="{1F89099E-CE5A-4F05-806E-1A88F9D85F86}" name="Sexo" totalsRowFunction="average" dataDxfId="99" totalsRowDxfId="98"/>
    <tableColumn id="5" xr3:uid="{5F3A4C7D-747B-433C-B3EA-0C48CA030888}" name="Estado Conyugal" totalsRowFunction="average" dataDxfId="97" totalsRowDxfId="96"/>
    <tableColumn id="6" xr3:uid="{D4D5C85B-1844-447B-8BC6-A5B2E5131FDE}" name="Sector Actividad Economica" totalsRowFunction="average" dataDxfId="95" totalsRowDxfId="94"/>
    <tableColumn id="7" xr3:uid="{127AC708-7A48-4EAC-8875-432CDC293440}" name="Tamaño de Unidad Economica" totalsRowFunction="average" dataDxfId="93" totalsRowDxfId="92"/>
    <tableColumn id="8" xr3:uid="{4281E641-36A5-4F69-B27B-AC03E6B5ADCC}" name="Informalidad Laboral" totalsRowFunction="average" dataDxfId="91" totalsRowDxfId="90"/>
    <tableColumn id="9" xr3:uid="{7E2C29C3-12F7-4941-9CF0-946C93CA8207}" name="Posicion por Ocupacion" totalsRowFunction="average" dataDxfId="89" totalsRowDxfId="88"/>
    <tableColumn id="10" xr3:uid="{8C5E5B65-6FBE-49BE-9D1A-684FE52159A5}" name="Horas Trabajadas" totalsRowFunction="average" dataDxfId="87" totalsRowDxfId="8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E79D28-92F1-4B72-AD5D-0FF095E3C8E7}" name="Tabla4" displayName="Tabla4" ref="AK2:AT24" totalsRowCount="1" headerRowDxfId="85" dataDxfId="84" totalsRowDxfId="83">
  <autoFilter ref="AK2:AT23" xr:uid="{1AE79D28-92F1-4B72-AD5D-0FF095E3C8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573A8D4-0EA8-4F40-B56D-8C1A203D4881}" name="Año" totalsRowLabel="Total" dataDxfId="82" totalsRowDxfId="81"/>
    <tableColumn id="2" xr3:uid="{C4A6549D-894E-4C89-AF09-00ABDA507F52}" name="Escolaridad" totalsRowFunction="average" dataDxfId="80" totalsRowDxfId="79"/>
    <tableColumn id="3" xr3:uid="{A754FA2B-6C20-48A2-92F3-1D7506AA758C}" name="Edad" totalsRowFunction="average" dataDxfId="78" totalsRowDxfId="77"/>
    <tableColumn id="4" xr3:uid="{00A7A419-A15B-46A6-8BA6-1B3351B1448E}" name="Sexo" totalsRowFunction="average" dataDxfId="76" totalsRowDxfId="75"/>
    <tableColumn id="5" xr3:uid="{F55C5FE5-3C1E-4F8F-A59D-1C9307BBF793}" name="Estado Conyugal" totalsRowFunction="average" dataDxfId="74" totalsRowDxfId="73"/>
    <tableColumn id="6" xr3:uid="{03870610-E24C-443D-8D3D-386BED71655F}" name="Sector Actividad Economica" totalsRowFunction="average" dataDxfId="72" totalsRowDxfId="71"/>
    <tableColumn id="7" xr3:uid="{CEE6C60D-3864-4110-83B6-97D1A04E2986}" name="Tamaño de Unidad Economica" totalsRowFunction="average" dataDxfId="70" totalsRowDxfId="69"/>
    <tableColumn id="8" xr3:uid="{FCF14007-6317-4249-99E0-C31CDE53E6DC}" name="Informalidad Laboral" totalsRowFunction="average" dataDxfId="68" totalsRowDxfId="67"/>
    <tableColumn id="9" xr3:uid="{3395F6C0-E6A6-425D-AFFC-5EE4511B862E}" name="Posicion por Ocupacion" totalsRowFunction="average" dataDxfId="66" totalsRowDxfId="65"/>
    <tableColumn id="10" xr3:uid="{3F2D2844-53F1-49CA-81FB-FD40F4A35951}" name="Horas Trabajadas" totalsRowFunction="average" dataDxfId="64" totalsRowDxfId="6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CDE8CC-ADB6-43F2-A980-5B94DAD86054}" name="Tabla5" displayName="Tabla5" ref="AW2:BF24" totalsRowCount="1" headerRowDxfId="62" dataDxfId="61" totalsRowDxfId="60">
  <autoFilter ref="AW2:BF23" xr:uid="{0CCDE8CC-ADB6-43F2-A980-5B94DAD860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0C41928-1038-47D0-AD39-34AA41C85B4F}" name="Año" totalsRowLabel="Total" dataDxfId="59" totalsRowDxfId="58"/>
    <tableColumn id="2" xr3:uid="{2E8D6BCE-1A6A-433B-B344-2494F1C60901}" name="Escolaridad" totalsRowFunction="average" dataDxfId="57" totalsRowDxfId="56"/>
    <tableColumn id="3" xr3:uid="{B696809C-8AAC-400E-8FDF-765D5B9CE615}" name="Edad" totalsRowFunction="average" dataDxfId="55" totalsRowDxfId="54"/>
    <tableColumn id="4" xr3:uid="{B628076A-697E-4BD9-AD8C-C92D79C6B1F6}" name="Sexo" totalsRowFunction="average" dataDxfId="53" totalsRowDxfId="52"/>
    <tableColumn id="5" xr3:uid="{288FA0E7-3AD7-4816-9D9E-7D2D95005B68}" name="Estado Conyugal" totalsRowFunction="average" dataDxfId="51" totalsRowDxfId="50"/>
    <tableColumn id="6" xr3:uid="{EA113A41-5E8C-4DFA-B9F8-88E69F45F95B}" name="Sector Actividad Economica" totalsRowFunction="average" dataDxfId="49" totalsRowDxfId="48"/>
    <tableColumn id="7" xr3:uid="{2EC89FCC-7446-4DAA-823C-B91DCE6281D3}" name="Tamaño de Unidad Economica" totalsRowFunction="average" dataDxfId="47" totalsRowDxfId="46"/>
    <tableColumn id="8" xr3:uid="{A8181B96-3B3D-4990-95AF-4B70DB238060}" name="Informalidad Laboral" totalsRowFunction="average" dataDxfId="45" totalsRowDxfId="44"/>
    <tableColumn id="9" xr3:uid="{BB16EE0A-F2BA-4320-B929-05C741078D9F}" name="Posicion por Ocupacion" totalsRowFunction="average" dataDxfId="43" totalsRowDxfId="42"/>
    <tableColumn id="10" xr3:uid="{2CF0E7A1-7ED3-470B-977C-B30FCE7FC2C5}" name="Horas Trabajadas" totalsRowFunction="average" dataDxfId="41" totalsRowDxfId="4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455E9A-467B-4830-8CCC-6BE857651A3C}" name="Tabla6" displayName="Tabla6" ref="A2:K24" totalsRowCount="1" headerRowDxfId="31" dataDxfId="30">
  <autoFilter ref="A2:K23" xr:uid="{BE455E9A-467B-4830-8CCC-6BE857651A3C}"/>
  <tableColumns count="11">
    <tableColumn id="1" xr3:uid="{E76A1639-CF4D-417A-9F00-A6E501CBC0C0}" name="Año" totalsRowLabel="Total" dataDxfId="29" totalsRowDxfId="28"/>
    <tableColumn id="2" xr3:uid="{1E35600A-7F79-484D-A1C1-5DBBBC238A53}" name="Train NL" totalsRowFunction="average" dataDxfId="27" totalsRowDxfId="26"/>
    <tableColumn id="3" xr3:uid="{14E1FAC0-60AF-4966-B075-69B4AAC6414E}" name="Test NL" totalsRowFunction="average" dataDxfId="25" totalsRowDxfId="24"/>
    <tableColumn id="4" xr3:uid="{CD25B30E-99D6-4142-B101-25ACF6253437}" name="Train Coa" totalsRowFunction="average" dataDxfId="23" totalsRowDxfId="22"/>
    <tableColumn id="5" xr3:uid="{213B9B42-AAF1-4D3B-BAD5-BFF165431360}" name="Test Coa" totalsRowFunction="average" dataDxfId="21" totalsRowDxfId="20"/>
    <tableColumn id="6" xr3:uid="{F24B0880-9CD5-48AB-BAD7-A3A598B99F48}" name="Train CDMX" totalsRowFunction="average" dataDxfId="19" totalsRowDxfId="18"/>
    <tableColumn id="7" xr3:uid="{7A4F95A9-03ED-4CDB-A898-DE90A1D15450}" name="Test CDMX" totalsRowFunction="average" dataDxfId="17" totalsRowDxfId="16"/>
    <tableColumn id="8" xr3:uid="{C654E6D3-624D-4B52-A217-B672FE71081D}" name="Train QR" totalsRowFunction="average" dataDxfId="15" totalsRowDxfId="14"/>
    <tableColumn id="9" xr3:uid="{8C2D3F18-E280-4173-AA45-5EBF68CF9CC3}" name="Test QR" totalsRowFunction="average" dataDxfId="13" totalsRowDxfId="12"/>
    <tableColumn id="10" xr3:uid="{205F1419-1BEC-4017-A522-6D01D95D4C79}" name="Train Chp" totalsRowFunction="average" dataDxfId="11" totalsRowDxfId="10"/>
    <tableColumn id="11" xr3:uid="{B1ECFC95-F5AC-4FF7-B735-108AF77F919E}" name="Test Chp" totalsRowFunction="average" dataDxfId="9" totalsRow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0BAB-64DA-44B0-8BE5-5139A575466B}">
  <dimension ref="A1:G23"/>
  <sheetViews>
    <sheetView zoomScale="74" workbookViewId="0">
      <selection activeCell="G24" sqref="G24"/>
    </sheetView>
  </sheetViews>
  <sheetFormatPr baseColWidth="10" defaultRowHeight="15" x14ac:dyDescent="0.25"/>
  <cols>
    <col min="1" max="4" width="16.5703125" customWidth="1"/>
    <col min="5" max="5" width="17.140625" customWidth="1"/>
    <col min="6" max="6" width="16.57031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31</v>
      </c>
    </row>
    <row r="2" spans="1:7" ht="15.75" x14ac:dyDescent="0.25">
      <c r="A2" s="2">
        <v>2005</v>
      </c>
      <c r="B2" s="1">
        <v>18931</v>
      </c>
      <c r="C2" s="2">
        <v>15557</v>
      </c>
      <c r="D2" s="2">
        <v>13340</v>
      </c>
      <c r="E2" s="2">
        <v>14306</v>
      </c>
      <c r="F2" s="2">
        <v>15078</v>
      </c>
      <c r="G2" s="2"/>
    </row>
    <row r="3" spans="1:7" ht="15.75" x14ac:dyDescent="0.25">
      <c r="A3" s="2">
        <v>2006</v>
      </c>
      <c r="B3" s="1">
        <v>18428</v>
      </c>
      <c r="C3" s="2">
        <v>16275</v>
      </c>
      <c r="D3" s="2">
        <v>16275</v>
      </c>
      <c r="E3" s="2">
        <v>15159</v>
      </c>
      <c r="F3" s="2">
        <v>15073</v>
      </c>
      <c r="G3" s="2"/>
    </row>
    <row r="4" spans="1:7" ht="15.75" x14ac:dyDescent="0.25">
      <c r="A4" s="2">
        <v>2007</v>
      </c>
      <c r="B4" s="1">
        <v>18655</v>
      </c>
      <c r="C4" s="2">
        <v>16792</v>
      </c>
      <c r="D4" s="2">
        <v>16792</v>
      </c>
      <c r="E4" s="2">
        <v>15020</v>
      </c>
      <c r="F4" s="2">
        <v>15125</v>
      </c>
      <c r="G4" s="2"/>
    </row>
    <row r="5" spans="1:7" ht="15.75" x14ac:dyDescent="0.25">
      <c r="A5" s="2">
        <v>2008</v>
      </c>
      <c r="B5" s="1">
        <v>17456</v>
      </c>
      <c r="C5" s="2">
        <v>16452</v>
      </c>
      <c r="D5" s="2">
        <v>12059</v>
      </c>
      <c r="E5" s="2">
        <v>14357</v>
      </c>
      <c r="F5" s="2">
        <v>14879</v>
      </c>
      <c r="G5" s="2"/>
    </row>
    <row r="6" spans="1:7" ht="15.75" x14ac:dyDescent="0.25">
      <c r="A6" s="2">
        <v>2009</v>
      </c>
      <c r="B6" s="1">
        <v>15236</v>
      </c>
      <c r="C6" s="2">
        <v>14959</v>
      </c>
      <c r="D6" s="2">
        <v>10982</v>
      </c>
      <c r="E6" s="2">
        <v>12735</v>
      </c>
      <c r="F6" s="2">
        <v>15352</v>
      </c>
      <c r="G6" s="2"/>
    </row>
    <row r="7" spans="1:7" ht="15.75" x14ac:dyDescent="0.25">
      <c r="A7" s="2">
        <v>2010</v>
      </c>
      <c r="B7" s="1">
        <v>14965</v>
      </c>
      <c r="C7" s="2">
        <v>15461</v>
      </c>
      <c r="D7" s="2">
        <v>10997</v>
      </c>
      <c r="E7" s="2">
        <v>12778</v>
      </c>
      <c r="F7" s="2">
        <v>16175</v>
      </c>
      <c r="G7" s="2"/>
    </row>
    <row r="8" spans="1:7" ht="15.75" x14ac:dyDescent="0.25">
      <c r="A8" s="2">
        <v>2011</v>
      </c>
      <c r="B8" s="1">
        <v>13595</v>
      </c>
      <c r="C8" s="2">
        <v>15368</v>
      </c>
      <c r="D8" s="2">
        <v>10344</v>
      </c>
      <c r="E8" s="2">
        <v>12380</v>
      </c>
      <c r="F8" s="2">
        <v>15696</v>
      </c>
      <c r="G8" s="2"/>
    </row>
    <row r="9" spans="1:7" ht="15.75" x14ac:dyDescent="0.25">
      <c r="A9" s="2">
        <v>2012</v>
      </c>
      <c r="B9" s="1">
        <v>12884</v>
      </c>
      <c r="C9" s="2">
        <v>15600</v>
      </c>
      <c r="D9" s="2">
        <v>10306</v>
      </c>
      <c r="E9" s="2">
        <v>12653</v>
      </c>
      <c r="F9" s="2">
        <v>15856</v>
      </c>
      <c r="G9" s="2"/>
    </row>
    <row r="10" spans="1:7" ht="15.75" x14ac:dyDescent="0.25">
      <c r="A10" s="2">
        <v>2013</v>
      </c>
      <c r="B10" s="1">
        <v>12814</v>
      </c>
      <c r="C10" s="2">
        <v>15889</v>
      </c>
      <c r="D10" s="2">
        <v>9667</v>
      </c>
      <c r="E10" s="2">
        <v>12430</v>
      </c>
      <c r="F10" s="2">
        <v>15523</v>
      </c>
      <c r="G10" s="2"/>
    </row>
    <row r="11" spans="1:7" ht="15.75" x14ac:dyDescent="0.25">
      <c r="A11" s="2">
        <v>2014</v>
      </c>
      <c r="B11" s="1">
        <v>12710</v>
      </c>
      <c r="C11" s="2">
        <v>16394</v>
      </c>
      <c r="D11" s="2">
        <v>8781</v>
      </c>
      <c r="E11" s="2">
        <v>12431</v>
      </c>
      <c r="F11" s="2">
        <v>15341</v>
      </c>
      <c r="G11" s="2"/>
    </row>
    <row r="12" spans="1:7" ht="15.75" x14ac:dyDescent="0.25">
      <c r="A12" s="2">
        <v>2015</v>
      </c>
      <c r="B12" s="1">
        <v>13347</v>
      </c>
      <c r="C12" s="2">
        <v>16369</v>
      </c>
      <c r="D12" s="2">
        <v>8471</v>
      </c>
      <c r="E12" s="2">
        <v>12364</v>
      </c>
      <c r="F12" s="2">
        <v>15843</v>
      </c>
      <c r="G12" s="2"/>
    </row>
    <row r="13" spans="1:7" ht="15.75" x14ac:dyDescent="0.25">
      <c r="A13" s="2">
        <v>2016</v>
      </c>
      <c r="B13" s="1">
        <v>13688</v>
      </c>
      <c r="C13" s="2">
        <v>16165</v>
      </c>
      <c r="D13" s="2">
        <v>8313</v>
      </c>
      <c r="E13" s="2">
        <v>12473</v>
      </c>
      <c r="F13" s="2">
        <v>15380</v>
      </c>
      <c r="G13" s="2"/>
    </row>
    <row r="14" spans="1:7" ht="15.75" x14ac:dyDescent="0.25">
      <c r="A14" s="2">
        <v>2017</v>
      </c>
      <c r="B14" s="1">
        <v>12523</v>
      </c>
      <c r="C14" s="2">
        <v>19857</v>
      </c>
      <c r="D14" s="2">
        <v>8104</v>
      </c>
      <c r="E14" s="2">
        <v>12208</v>
      </c>
      <c r="F14" s="2">
        <v>14997</v>
      </c>
      <c r="G14" s="2"/>
    </row>
    <row r="15" spans="1:7" ht="15.75" x14ac:dyDescent="0.25">
      <c r="A15" s="2">
        <v>2018</v>
      </c>
      <c r="B15" s="1">
        <v>12645</v>
      </c>
      <c r="C15" s="2">
        <v>20534</v>
      </c>
      <c r="D15" s="2">
        <v>7696</v>
      </c>
      <c r="E15" s="2">
        <v>12137</v>
      </c>
      <c r="F15" s="2">
        <v>14995</v>
      </c>
      <c r="G15" s="2"/>
    </row>
    <row r="16" spans="1:7" ht="15.75" x14ac:dyDescent="0.25">
      <c r="A16" s="2">
        <v>2019</v>
      </c>
      <c r="B16" s="1">
        <v>15827</v>
      </c>
      <c r="C16" s="2">
        <v>22533</v>
      </c>
      <c r="D16" s="2">
        <v>7923</v>
      </c>
      <c r="E16" s="2">
        <v>12647</v>
      </c>
      <c r="F16" s="2">
        <v>15819</v>
      </c>
      <c r="G16" s="2"/>
    </row>
    <row r="17" spans="1:7" ht="15.75" x14ac:dyDescent="0.25">
      <c r="A17" s="2">
        <v>2020</v>
      </c>
      <c r="B17" s="1">
        <v>10775</v>
      </c>
      <c r="C17" s="2">
        <v>14857</v>
      </c>
      <c r="D17" s="2">
        <v>5962</v>
      </c>
      <c r="E17" s="2">
        <v>6565</v>
      </c>
      <c r="F17" s="2">
        <v>15396</v>
      </c>
      <c r="G17" s="2"/>
    </row>
    <row r="18" spans="1:7" ht="16.5" x14ac:dyDescent="0.3">
      <c r="A18" s="2">
        <v>2021</v>
      </c>
      <c r="B18" s="1">
        <v>17087</v>
      </c>
      <c r="C18" s="2">
        <v>21778</v>
      </c>
      <c r="D18" s="2">
        <v>6912</v>
      </c>
      <c r="E18" s="2">
        <v>10707</v>
      </c>
      <c r="F18" s="4">
        <v>21701</v>
      </c>
      <c r="G18" s="2"/>
    </row>
    <row r="19" spans="1:7" ht="16.5" x14ac:dyDescent="0.3">
      <c r="A19" s="2">
        <v>2022</v>
      </c>
      <c r="B19" s="1">
        <v>15662</v>
      </c>
      <c r="C19" s="2">
        <v>21832</v>
      </c>
      <c r="D19" s="2">
        <v>7170</v>
      </c>
      <c r="E19" s="2">
        <v>11083</v>
      </c>
      <c r="F19" s="4">
        <v>21491</v>
      </c>
      <c r="G19" s="2"/>
    </row>
    <row r="20" spans="1:7" ht="16.5" x14ac:dyDescent="0.3">
      <c r="A20" s="2">
        <v>2023</v>
      </c>
      <c r="B20" s="1">
        <v>17149</v>
      </c>
      <c r="C20" s="2">
        <v>23754</v>
      </c>
      <c r="D20" s="2">
        <v>7561</v>
      </c>
      <c r="E20" s="2">
        <v>12286</v>
      </c>
      <c r="F20" s="4">
        <v>22201</v>
      </c>
      <c r="G20" s="2"/>
    </row>
    <row r="21" spans="1:7" ht="16.5" x14ac:dyDescent="0.3">
      <c r="A21" s="2">
        <v>2024</v>
      </c>
      <c r="B21" s="1">
        <v>16737</v>
      </c>
      <c r="C21" s="2">
        <v>22358</v>
      </c>
      <c r="D21" s="2">
        <v>8532</v>
      </c>
      <c r="E21" s="2">
        <v>11834</v>
      </c>
      <c r="F21" s="4">
        <v>20995</v>
      </c>
      <c r="G21" s="2"/>
    </row>
    <row r="22" spans="1:7" ht="16.5" x14ac:dyDescent="0.3">
      <c r="A22" s="2">
        <v>2025</v>
      </c>
      <c r="B22" s="1">
        <v>13343</v>
      </c>
      <c r="C22" s="2">
        <v>19742</v>
      </c>
      <c r="D22" s="2">
        <v>7547</v>
      </c>
      <c r="E22" s="2">
        <v>11136</v>
      </c>
      <c r="F22" s="4">
        <v>19864</v>
      </c>
      <c r="G22" s="2"/>
    </row>
    <row r="23" spans="1:7" ht="16.5" x14ac:dyDescent="0.3">
      <c r="A23" s="2" t="s">
        <v>17</v>
      </c>
      <c r="B23" s="4">
        <f>SUBTOTAL(109,Tabla7[Nuevo Leon])</f>
        <v>314457</v>
      </c>
      <c r="C23" s="4">
        <f>SUBTOTAL(109,Tabla7[Coahuila])</f>
        <v>378526</v>
      </c>
      <c r="D23" s="4">
        <f>SUBTOTAL(109,Tabla7[CDMX])</f>
        <v>203734</v>
      </c>
      <c r="E23" s="4">
        <f>SUBTOTAL(109,Tabla7[Quintana Roo])</f>
        <v>259689</v>
      </c>
      <c r="F23" s="4">
        <f>SUBTOTAL(109,Tabla7[Chiapas])</f>
        <v>352780</v>
      </c>
      <c r="G23" s="4">
        <f>SUM(Tabla7[[#Totals],[Nuevo Leon]:[Chiapas]])</f>
        <v>1509186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B483-8301-4270-8294-4A19AD1FEED2}">
  <dimension ref="A1:BF25"/>
  <sheetViews>
    <sheetView topLeftCell="AU1" zoomScale="70" zoomScaleNormal="77" workbookViewId="0">
      <selection activeCell="BI14" sqref="BI14"/>
    </sheetView>
  </sheetViews>
  <sheetFormatPr baseColWidth="10" defaultRowHeight="15" x14ac:dyDescent="0.25"/>
  <cols>
    <col min="1" max="58" width="17.140625" customWidth="1"/>
  </cols>
  <sheetData>
    <row r="1" spans="1:58" ht="15.75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7"/>
      <c r="L1" s="7"/>
      <c r="M1" s="9" t="s">
        <v>16</v>
      </c>
      <c r="N1" s="9"/>
      <c r="O1" s="9"/>
      <c r="P1" s="9"/>
      <c r="Q1" s="9"/>
      <c r="R1" s="9"/>
      <c r="S1" s="9"/>
      <c r="T1" s="9"/>
      <c r="U1" s="9"/>
      <c r="V1" s="9"/>
      <c r="W1" s="7"/>
      <c r="X1" s="7"/>
      <c r="Y1" s="9" t="s">
        <v>18</v>
      </c>
      <c r="Z1" s="9"/>
      <c r="AA1" s="9"/>
      <c r="AB1" s="9"/>
      <c r="AC1" s="9"/>
      <c r="AD1" s="9"/>
      <c r="AE1" s="9"/>
      <c r="AF1" s="9"/>
      <c r="AG1" s="9"/>
      <c r="AH1" s="9"/>
      <c r="AI1" s="7"/>
      <c r="AJ1" s="7"/>
      <c r="AK1" s="9" t="s">
        <v>19</v>
      </c>
      <c r="AL1" s="9"/>
      <c r="AM1" s="9"/>
      <c r="AN1" s="9"/>
      <c r="AO1" s="9"/>
      <c r="AP1" s="9"/>
      <c r="AQ1" s="9"/>
      <c r="AR1" s="9"/>
      <c r="AS1" s="9"/>
      <c r="AT1" s="9"/>
      <c r="AU1" s="7"/>
      <c r="AV1" s="7"/>
      <c r="AW1" s="9" t="s">
        <v>20</v>
      </c>
      <c r="AX1" s="9"/>
      <c r="AY1" s="9"/>
      <c r="AZ1" s="9"/>
      <c r="BA1" s="9"/>
      <c r="BB1" s="9"/>
      <c r="BC1" s="9"/>
      <c r="BD1" s="9"/>
      <c r="BE1" s="9"/>
      <c r="BF1" s="9"/>
    </row>
    <row r="2" spans="1:58" ht="45.75" x14ac:dyDescent="0.25">
      <c r="A2" s="1" t="s">
        <v>0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7"/>
      <c r="L2" s="7"/>
      <c r="M2" s="1" t="s">
        <v>0</v>
      </c>
      <c r="N2" s="8" t="s">
        <v>6</v>
      </c>
      <c r="O2" s="8" t="s">
        <v>7</v>
      </c>
      <c r="P2" s="8" t="s">
        <v>8</v>
      </c>
      <c r="Q2" s="8" t="s">
        <v>9</v>
      </c>
      <c r="R2" s="8" t="s">
        <v>10</v>
      </c>
      <c r="S2" s="8" t="s">
        <v>11</v>
      </c>
      <c r="T2" s="8" t="s">
        <v>12</v>
      </c>
      <c r="U2" s="8" t="s">
        <v>13</v>
      </c>
      <c r="V2" s="8" t="s">
        <v>14</v>
      </c>
      <c r="W2" s="7"/>
      <c r="X2" s="7"/>
      <c r="Y2" s="1" t="s">
        <v>0</v>
      </c>
      <c r="Z2" s="8" t="s">
        <v>6</v>
      </c>
      <c r="AA2" s="8" t="s">
        <v>7</v>
      </c>
      <c r="AB2" s="8" t="s">
        <v>8</v>
      </c>
      <c r="AC2" s="8" t="s">
        <v>9</v>
      </c>
      <c r="AD2" s="8" t="s">
        <v>10</v>
      </c>
      <c r="AE2" s="8" t="s">
        <v>11</v>
      </c>
      <c r="AF2" s="8" t="s">
        <v>12</v>
      </c>
      <c r="AG2" s="8" t="s">
        <v>13</v>
      </c>
      <c r="AH2" s="8" t="s">
        <v>14</v>
      </c>
      <c r="AI2" s="7"/>
      <c r="AJ2" s="7"/>
      <c r="AK2" s="1" t="s">
        <v>0</v>
      </c>
      <c r="AL2" s="8" t="s">
        <v>6</v>
      </c>
      <c r="AM2" s="8" t="s">
        <v>7</v>
      </c>
      <c r="AN2" s="8" t="s">
        <v>8</v>
      </c>
      <c r="AO2" s="8" t="s">
        <v>9</v>
      </c>
      <c r="AP2" s="8" t="s">
        <v>10</v>
      </c>
      <c r="AQ2" s="8" t="s">
        <v>11</v>
      </c>
      <c r="AR2" s="8" t="s">
        <v>12</v>
      </c>
      <c r="AS2" s="8" t="s">
        <v>13</v>
      </c>
      <c r="AT2" s="8" t="s">
        <v>14</v>
      </c>
      <c r="AU2" s="7"/>
      <c r="AV2" s="7"/>
      <c r="AW2" s="1" t="s">
        <v>0</v>
      </c>
      <c r="AX2" s="8" t="s">
        <v>6</v>
      </c>
      <c r="AY2" s="8" t="s">
        <v>7</v>
      </c>
      <c r="AZ2" s="8" t="s">
        <v>8</v>
      </c>
      <c r="BA2" s="8" t="s">
        <v>9</v>
      </c>
      <c r="BB2" s="8" t="s">
        <v>10</v>
      </c>
      <c r="BC2" s="8" t="s">
        <v>11</v>
      </c>
      <c r="BD2" s="8" t="s">
        <v>12</v>
      </c>
      <c r="BE2" s="8" t="s">
        <v>13</v>
      </c>
      <c r="BF2" s="8" t="s">
        <v>14</v>
      </c>
    </row>
    <row r="3" spans="1:58" ht="15.75" x14ac:dyDescent="0.25">
      <c r="A3" s="1">
        <v>2005</v>
      </c>
      <c r="B3" s="1">
        <v>0.61090825999999998</v>
      </c>
      <c r="C3" s="1">
        <v>5.5680899999999998E-2</v>
      </c>
      <c r="D3" s="1">
        <v>2.5042749999999999E-2</v>
      </c>
      <c r="E3" s="1">
        <v>0</v>
      </c>
      <c r="F3" s="1">
        <v>1.142691E-2</v>
      </c>
      <c r="G3" s="1">
        <v>0</v>
      </c>
      <c r="H3" s="1">
        <v>0</v>
      </c>
      <c r="I3" s="1">
        <v>0</v>
      </c>
      <c r="J3" s="1">
        <v>0.29694119000000002</v>
      </c>
      <c r="K3" s="7"/>
      <c r="L3" s="7"/>
      <c r="M3" s="1">
        <v>2005</v>
      </c>
      <c r="N3" s="1">
        <v>0.60544715999999998</v>
      </c>
      <c r="O3" s="7">
        <v>5.4848130000000002E-2</v>
      </c>
      <c r="P3" s="7">
        <v>1.459806E-2</v>
      </c>
      <c r="Q3" s="7">
        <v>0</v>
      </c>
      <c r="R3" s="7">
        <v>0</v>
      </c>
      <c r="S3" s="7">
        <v>3.531815E-2</v>
      </c>
      <c r="T3" s="7">
        <v>3.686768E-2</v>
      </c>
      <c r="U3" s="7">
        <v>1.1984180000000001E-2</v>
      </c>
      <c r="V3" s="7">
        <v>0.24093664000000001</v>
      </c>
      <c r="W3" s="7"/>
      <c r="X3" s="7"/>
      <c r="Y3" s="1">
        <v>2005</v>
      </c>
      <c r="Z3" s="1">
        <v>0.68141786000000004</v>
      </c>
      <c r="AA3" s="7">
        <v>3.1576699999999999E-2</v>
      </c>
      <c r="AB3" s="7">
        <v>1.7563059999999998E-2</v>
      </c>
      <c r="AC3" s="7">
        <v>2.0113320000000001E-2</v>
      </c>
      <c r="AD3" s="7">
        <v>0</v>
      </c>
      <c r="AE3" s="7">
        <v>0</v>
      </c>
      <c r="AF3" s="7">
        <v>5.2546000000000002E-2</v>
      </c>
      <c r="AG3" s="7">
        <v>0</v>
      </c>
      <c r="AH3" s="7">
        <v>0.19678304999999999</v>
      </c>
      <c r="AI3" s="7"/>
      <c r="AJ3" s="7"/>
      <c r="AK3" s="1">
        <v>2005</v>
      </c>
      <c r="AL3" s="1">
        <v>0.39877954999999998</v>
      </c>
      <c r="AM3" s="7">
        <v>6.0334909999999999E-2</v>
      </c>
      <c r="AN3" s="7">
        <v>0</v>
      </c>
      <c r="AO3" s="7">
        <v>0</v>
      </c>
      <c r="AP3" s="7">
        <v>0</v>
      </c>
      <c r="AQ3" s="7">
        <v>6.9807430000000004E-2</v>
      </c>
      <c r="AR3" s="7">
        <v>5.9893839999999997E-2</v>
      </c>
      <c r="AS3" s="7">
        <v>7.5057479999999996E-2</v>
      </c>
      <c r="AT3" s="7">
        <v>0.33612679000000001</v>
      </c>
      <c r="AU3" s="7"/>
      <c r="AV3" s="7"/>
      <c r="AW3" s="1">
        <v>2005</v>
      </c>
      <c r="AX3" s="1">
        <v>0.44309315999999999</v>
      </c>
      <c r="AY3" s="7">
        <v>6.7176890000000003E-2</v>
      </c>
      <c r="AZ3" s="7">
        <v>4.2171999999999999E-3</v>
      </c>
      <c r="BA3" s="7">
        <v>0</v>
      </c>
      <c r="BB3" s="7">
        <v>0</v>
      </c>
      <c r="BC3" s="7">
        <v>0</v>
      </c>
      <c r="BD3" s="7">
        <v>0.12482957</v>
      </c>
      <c r="BE3" s="7">
        <v>0</v>
      </c>
      <c r="BF3" s="7">
        <v>0.36068317999999999</v>
      </c>
    </row>
    <row r="4" spans="1:58" ht="15.75" x14ac:dyDescent="0.25">
      <c r="A4" s="1">
        <v>2006</v>
      </c>
      <c r="B4" s="1">
        <v>0.51222104999999996</v>
      </c>
      <c r="C4" s="1">
        <v>8.7666869999999994E-2</v>
      </c>
      <c r="D4" s="1">
        <v>1.6261250000000001E-2</v>
      </c>
      <c r="E4" s="1">
        <v>0</v>
      </c>
      <c r="F4" s="1">
        <v>0</v>
      </c>
      <c r="G4" s="1">
        <v>4.1440070000000002E-2</v>
      </c>
      <c r="H4" s="1">
        <v>5.4024629999999997E-2</v>
      </c>
      <c r="I4" s="1">
        <v>8.10373E-3</v>
      </c>
      <c r="J4" s="1">
        <v>0.28028240999999998</v>
      </c>
      <c r="K4" s="7"/>
      <c r="L4" s="7"/>
      <c r="M4" s="1">
        <v>2006</v>
      </c>
      <c r="N4" s="1">
        <v>0.44848441999999999</v>
      </c>
      <c r="O4" s="7">
        <v>0</v>
      </c>
      <c r="P4" s="7">
        <v>0.12766354999999999</v>
      </c>
      <c r="Q4" s="7">
        <v>3.8365030000000001E-2</v>
      </c>
      <c r="R4" s="7">
        <v>2.99402E-3</v>
      </c>
      <c r="S4" s="7">
        <v>0</v>
      </c>
      <c r="T4" s="7">
        <v>2.6625280000000001E-2</v>
      </c>
      <c r="U4" s="7">
        <v>2.6591839999999999E-2</v>
      </c>
      <c r="V4" s="7">
        <v>0.32927585999999998</v>
      </c>
      <c r="W4" s="7"/>
      <c r="X4" s="7"/>
      <c r="Y4" s="1">
        <v>2006</v>
      </c>
      <c r="Z4" s="1">
        <v>0.44848441999999999</v>
      </c>
      <c r="AA4" s="7">
        <v>0</v>
      </c>
      <c r="AB4" s="7">
        <v>0.12766354999999999</v>
      </c>
      <c r="AC4" s="7">
        <v>3.8365030000000001E-2</v>
      </c>
      <c r="AD4" s="7">
        <v>2.99402E-3</v>
      </c>
      <c r="AE4" s="7">
        <v>0</v>
      </c>
      <c r="AF4" s="7">
        <v>2.6625280000000001E-2</v>
      </c>
      <c r="AG4" s="7">
        <v>2.6591839999999999E-2</v>
      </c>
      <c r="AH4" s="7">
        <v>0.32927585999999998</v>
      </c>
      <c r="AI4" s="7"/>
      <c r="AJ4" s="7"/>
      <c r="AK4" s="1">
        <v>2006</v>
      </c>
      <c r="AL4" s="1">
        <v>0.42996667999999999</v>
      </c>
      <c r="AM4" s="7">
        <v>5.0979370000000003E-2</v>
      </c>
      <c r="AN4" s="7">
        <v>5.6243519999999998E-2</v>
      </c>
      <c r="AO4" s="7">
        <v>0</v>
      </c>
      <c r="AP4" s="7">
        <v>0</v>
      </c>
      <c r="AQ4" s="7">
        <v>0</v>
      </c>
      <c r="AR4" s="7">
        <v>0.22159143000000001</v>
      </c>
      <c r="AS4" s="7">
        <v>0</v>
      </c>
      <c r="AT4" s="7">
        <v>0.24121899999999999</v>
      </c>
      <c r="AU4" s="7"/>
      <c r="AV4" s="7"/>
      <c r="AW4" s="1">
        <v>2006</v>
      </c>
      <c r="AX4" s="1">
        <v>0.41348942999999999</v>
      </c>
      <c r="AY4" s="7">
        <v>7.4426400000000004E-2</v>
      </c>
      <c r="AZ4" s="7">
        <v>3.8502200000000001E-3</v>
      </c>
      <c r="BA4" s="7">
        <v>0</v>
      </c>
      <c r="BB4" s="7">
        <v>0</v>
      </c>
      <c r="BC4" s="7">
        <v>0</v>
      </c>
      <c r="BD4" s="7">
        <v>9.1959929999999995E-2</v>
      </c>
      <c r="BE4" s="7">
        <v>8.2561000000000006E-3</v>
      </c>
      <c r="BF4" s="7">
        <v>0.40801792999999997</v>
      </c>
    </row>
    <row r="5" spans="1:58" ht="15.75" x14ac:dyDescent="0.25">
      <c r="A5" s="1">
        <v>2007</v>
      </c>
      <c r="B5" s="1">
        <v>0.47787284000000002</v>
      </c>
      <c r="C5" s="1">
        <v>0.15303922</v>
      </c>
      <c r="D5" s="1">
        <v>0</v>
      </c>
      <c r="E5" s="1">
        <v>0</v>
      </c>
      <c r="F5" s="1">
        <v>0</v>
      </c>
      <c r="G5" s="1">
        <v>0</v>
      </c>
      <c r="H5" s="1">
        <v>7.9990820000000004E-2</v>
      </c>
      <c r="I5" s="1">
        <v>1.00435E-2</v>
      </c>
      <c r="J5" s="1">
        <v>0.27905361000000001</v>
      </c>
      <c r="K5" s="7"/>
      <c r="L5" s="7"/>
      <c r="M5" s="1">
        <v>2007</v>
      </c>
      <c r="N5" s="1">
        <v>0.59714323999999996</v>
      </c>
      <c r="O5" s="7">
        <v>4.9663699999999998E-2</v>
      </c>
      <c r="P5" s="7">
        <v>0</v>
      </c>
      <c r="Q5" s="7">
        <v>0</v>
      </c>
      <c r="R5" s="7">
        <v>0</v>
      </c>
      <c r="S5" s="7">
        <v>0</v>
      </c>
      <c r="T5" s="7">
        <v>1.6116640000000002E-2</v>
      </c>
      <c r="U5" s="7">
        <v>0</v>
      </c>
      <c r="V5" s="7">
        <v>0.33707641999999999</v>
      </c>
      <c r="W5" s="7"/>
      <c r="X5" s="7"/>
      <c r="Y5" s="1">
        <v>2007</v>
      </c>
      <c r="Z5" s="1">
        <v>0.59714323999999996</v>
      </c>
      <c r="AA5" s="7">
        <v>4.9663699999999998E-2</v>
      </c>
      <c r="AB5" s="7">
        <v>0</v>
      </c>
      <c r="AC5" s="7">
        <v>0</v>
      </c>
      <c r="AD5" s="7">
        <v>0</v>
      </c>
      <c r="AE5" s="7">
        <v>0</v>
      </c>
      <c r="AF5" s="7">
        <v>1.6116640000000002E-2</v>
      </c>
      <c r="AG5" s="7">
        <v>0</v>
      </c>
      <c r="AH5" s="7">
        <v>0.33707641999999999</v>
      </c>
      <c r="AI5" s="7"/>
      <c r="AJ5" s="7"/>
      <c r="AK5" s="1">
        <v>2007</v>
      </c>
      <c r="AL5" s="1">
        <v>0.53566307999999996</v>
      </c>
      <c r="AM5" s="7">
        <v>9.4555249999999993E-2</v>
      </c>
      <c r="AN5" s="7">
        <v>2.0543220000000001E-2</v>
      </c>
      <c r="AO5" s="7">
        <v>0</v>
      </c>
      <c r="AP5" s="7">
        <v>1.291352E-2</v>
      </c>
      <c r="AQ5" s="7">
        <v>2.5001619999999999E-2</v>
      </c>
      <c r="AR5" s="7">
        <v>0</v>
      </c>
      <c r="AS5" s="7">
        <v>0</v>
      </c>
      <c r="AT5" s="7">
        <v>0.31132331000000002</v>
      </c>
      <c r="AU5" s="7"/>
      <c r="AV5" s="7"/>
      <c r="AW5" s="1">
        <v>2007</v>
      </c>
      <c r="AX5" s="1">
        <v>0.50288854999999999</v>
      </c>
      <c r="AY5" s="7">
        <v>0.10493783</v>
      </c>
      <c r="AZ5" s="7">
        <v>4.9657399999999997E-3</v>
      </c>
      <c r="BA5" s="7">
        <v>0</v>
      </c>
      <c r="BB5" s="7">
        <v>0</v>
      </c>
      <c r="BC5" s="7">
        <v>0</v>
      </c>
      <c r="BD5" s="7">
        <v>6.2115339999999998E-2</v>
      </c>
      <c r="BE5" s="7">
        <v>1.1408130000000001E-2</v>
      </c>
      <c r="BF5" s="7">
        <v>0.31368441000000002</v>
      </c>
    </row>
    <row r="6" spans="1:58" ht="15.75" x14ac:dyDescent="0.25">
      <c r="A6" s="1">
        <v>2008</v>
      </c>
      <c r="B6" s="1">
        <v>0.47546170999999998</v>
      </c>
      <c r="C6" s="1">
        <v>9.1099449999999998E-2</v>
      </c>
      <c r="D6" s="1">
        <v>3.093802E-2</v>
      </c>
      <c r="E6" s="1">
        <v>0</v>
      </c>
      <c r="F6" s="1">
        <v>0</v>
      </c>
      <c r="G6" s="1">
        <v>0</v>
      </c>
      <c r="H6" s="1">
        <v>5.6326969999999997E-2</v>
      </c>
      <c r="I6" s="1">
        <v>0</v>
      </c>
      <c r="J6" s="1">
        <v>0.34617386</v>
      </c>
      <c r="K6" s="7"/>
      <c r="L6" s="7"/>
      <c r="M6" s="1">
        <v>2008</v>
      </c>
      <c r="N6" s="1">
        <v>0.37112084000000001</v>
      </c>
      <c r="O6" s="7">
        <v>0</v>
      </c>
      <c r="P6" s="7">
        <v>1.6414020000000001E-2</v>
      </c>
      <c r="Q6" s="7">
        <v>6.3029550000000004E-2</v>
      </c>
      <c r="R6" s="7">
        <v>0</v>
      </c>
      <c r="S6" s="7">
        <v>0</v>
      </c>
      <c r="T6" s="7">
        <v>0.14006857</v>
      </c>
      <c r="U6" s="7">
        <v>1.0400319999999999E-2</v>
      </c>
      <c r="V6" s="7">
        <v>0.39896670000000001</v>
      </c>
      <c r="W6" s="7"/>
      <c r="X6" s="7"/>
      <c r="Y6" s="1">
        <v>2008</v>
      </c>
      <c r="Z6" s="1">
        <v>0.65284593000000002</v>
      </c>
      <c r="AA6" s="7">
        <v>0</v>
      </c>
      <c r="AB6" s="7">
        <v>2.1739640000000001E-2</v>
      </c>
      <c r="AC6" s="7">
        <v>0</v>
      </c>
      <c r="AD6" s="7">
        <v>0</v>
      </c>
      <c r="AE6" s="7">
        <v>0</v>
      </c>
      <c r="AF6" s="7">
        <v>1.8294040000000001E-2</v>
      </c>
      <c r="AG6" s="7">
        <v>8.7223949999999995E-2</v>
      </c>
      <c r="AH6" s="7">
        <v>0.21989644</v>
      </c>
      <c r="AI6" s="7"/>
      <c r="AJ6" s="7"/>
      <c r="AK6" s="1">
        <v>2008</v>
      </c>
      <c r="AL6" s="1">
        <v>0.37116674</v>
      </c>
      <c r="AM6" s="7">
        <v>0.13601996</v>
      </c>
      <c r="AN6" s="7">
        <v>0</v>
      </c>
      <c r="AO6" s="7">
        <v>0</v>
      </c>
      <c r="AP6" s="7">
        <v>3.343409E-2</v>
      </c>
      <c r="AQ6" s="7">
        <v>0</v>
      </c>
      <c r="AR6" s="7">
        <v>3.4757879999999998E-2</v>
      </c>
      <c r="AS6" s="7">
        <v>5.032756E-2</v>
      </c>
      <c r="AT6" s="7">
        <v>0.37429378000000002</v>
      </c>
      <c r="AU6" s="7"/>
      <c r="AV6" s="7"/>
      <c r="AW6" s="1">
        <v>2008</v>
      </c>
      <c r="AX6" s="1">
        <v>0.54005431999999998</v>
      </c>
      <c r="AY6" s="7">
        <v>9.2196260000000002E-2</v>
      </c>
      <c r="AZ6" s="7">
        <v>3.7443099999999998E-3</v>
      </c>
      <c r="BA6" s="7">
        <v>0</v>
      </c>
      <c r="BB6" s="7">
        <v>3.001003E-2</v>
      </c>
      <c r="BC6" s="7">
        <v>0</v>
      </c>
      <c r="BD6" s="7">
        <v>4.316474E-2</v>
      </c>
      <c r="BE6" s="7">
        <v>7.80301E-3</v>
      </c>
      <c r="BF6" s="7">
        <v>0.28302733000000002</v>
      </c>
    </row>
    <row r="7" spans="1:58" ht="15.75" x14ac:dyDescent="0.25">
      <c r="A7" s="1">
        <v>2009</v>
      </c>
      <c r="B7" s="1">
        <v>0.35373739999999998</v>
      </c>
      <c r="C7" s="1">
        <v>2.609672E-2</v>
      </c>
      <c r="D7" s="1">
        <v>6.621146E-2</v>
      </c>
      <c r="E7" s="1">
        <v>7.4369400000000004E-3</v>
      </c>
      <c r="F7" s="1">
        <v>0</v>
      </c>
      <c r="G7" s="1">
        <v>0</v>
      </c>
      <c r="H7" s="1">
        <v>4.9154990000000003E-2</v>
      </c>
      <c r="I7" s="1">
        <v>4.2799789999999997E-2</v>
      </c>
      <c r="J7" s="1">
        <v>0.45456268999999999</v>
      </c>
      <c r="K7" s="7"/>
      <c r="L7" s="7"/>
      <c r="M7" s="1">
        <v>2009</v>
      </c>
      <c r="N7" s="1">
        <v>0.38653595000000002</v>
      </c>
      <c r="O7" s="7">
        <v>6.2934840000000006E-2</v>
      </c>
      <c r="P7" s="7">
        <v>5.3243600000000002E-3</v>
      </c>
      <c r="Q7" s="7">
        <v>3.4371909999999999E-2</v>
      </c>
      <c r="R7" s="7">
        <v>0</v>
      </c>
      <c r="S7" s="7">
        <v>0</v>
      </c>
      <c r="T7" s="7">
        <v>0.23507318999999999</v>
      </c>
      <c r="U7" s="7">
        <v>0</v>
      </c>
      <c r="V7" s="7">
        <v>0.27575975000000003</v>
      </c>
      <c r="W7" s="7"/>
      <c r="X7" s="7"/>
      <c r="Y7" s="1">
        <v>2009</v>
      </c>
      <c r="Z7" s="1">
        <v>0.47881596999999998</v>
      </c>
      <c r="AA7" s="7">
        <v>0.12511792999999999</v>
      </c>
      <c r="AB7" s="7">
        <v>4.2587649999999998E-2</v>
      </c>
      <c r="AC7" s="7">
        <v>0</v>
      </c>
      <c r="AD7" s="7">
        <v>0</v>
      </c>
      <c r="AE7" s="7">
        <v>0</v>
      </c>
      <c r="AF7" s="7">
        <v>8.7402450000000007E-2</v>
      </c>
      <c r="AG7" s="7">
        <v>0</v>
      </c>
      <c r="AH7" s="7">
        <v>0.26607599999999998</v>
      </c>
      <c r="AI7" s="7"/>
      <c r="AJ7" s="7"/>
      <c r="AK7" s="1">
        <v>2009</v>
      </c>
      <c r="AL7" s="1">
        <v>0.30308122999999998</v>
      </c>
      <c r="AM7" s="7">
        <v>3.1385110000000001E-2</v>
      </c>
      <c r="AN7" s="7">
        <v>0.17293423999999999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0.49259942000000001</v>
      </c>
      <c r="AU7" s="7"/>
      <c r="AV7" s="7"/>
      <c r="AW7" s="1">
        <v>2009</v>
      </c>
      <c r="AX7" s="1">
        <v>0.48605230999999999</v>
      </c>
      <c r="AY7" s="7">
        <v>4.7931929999999998E-2</v>
      </c>
      <c r="AZ7" s="7">
        <v>1.6697099999999999E-2</v>
      </c>
      <c r="BA7" s="7">
        <v>0</v>
      </c>
      <c r="BB7" s="7">
        <v>0</v>
      </c>
      <c r="BC7" s="7">
        <v>0</v>
      </c>
      <c r="BD7" s="7">
        <v>9.5691120000000005E-2</v>
      </c>
      <c r="BE7" s="7">
        <v>0</v>
      </c>
      <c r="BF7" s="7">
        <v>0.35362754000000002</v>
      </c>
    </row>
    <row r="8" spans="1:58" ht="15.75" x14ac:dyDescent="0.25">
      <c r="A8" s="1">
        <v>2010</v>
      </c>
      <c r="B8" s="1">
        <v>0.39527667999999999</v>
      </c>
      <c r="C8" s="1">
        <v>2.7635119999999999E-2</v>
      </c>
      <c r="D8" s="1">
        <v>3.413911E-2</v>
      </c>
      <c r="E8" s="1">
        <v>0</v>
      </c>
      <c r="F8" s="1">
        <v>0</v>
      </c>
      <c r="G8" s="1">
        <v>1.5394990000000001E-2</v>
      </c>
      <c r="H8" s="1">
        <v>8.836513E-2</v>
      </c>
      <c r="I8" s="1">
        <v>0</v>
      </c>
      <c r="J8" s="1">
        <v>0.43918897000000001</v>
      </c>
      <c r="K8" s="7"/>
      <c r="L8" s="7"/>
      <c r="M8" s="1">
        <v>2010</v>
      </c>
      <c r="N8" s="1">
        <v>0.51129908000000002</v>
      </c>
      <c r="O8" s="7">
        <v>4.0191869999999998E-2</v>
      </c>
      <c r="P8" s="7">
        <v>0</v>
      </c>
      <c r="Q8" s="7">
        <v>0</v>
      </c>
      <c r="R8" s="7">
        <v>0</v>
      </c>
      <c r="S8" s="7">
        <v>0</v>
      </c>
      <c r="T8" s="7">
        <v>9.5950659999999993E-2</v>
      </c>
      <c r="U8" s="7">
        <v>0</v>
      </c>
      <c r="V8" s="7">
        <v>0.35255838</v>
      </c>
      <c r="W8" s="7"/>
      <c r="X8" s="7"/>
      <c r="Y8" s="1">
        <v>2010</v>
      </c>
      <c r="Z8" s="1">
        <v>0.44967958000000002</v>
      </c>
      <c r="AA8" s="7">
        <v>2.9079830000000001E-2</v>
      </c>
      <c r="AB8" s="7">
        <v>0</v>
      </c>
      <c r="AC8" s="7">
        <v>4.7209550000000003E-2</v>
      </c>
      <c r="AD8" s="7">
        <v>0</v>
      </c>
      <c r="AE8" s="7">
        <v>0</v>
      </c>
      <c r="AF8" s="7">
        <v>8.6203580000000002E-2</v>
      </c>
      <c r="AG8" s="7">
        <v>0</v>
      </c>
      <c r="AH8" s="7">
        <v>0.38782745000000002</v>
      </c>
      <c r="AI8" s="7"/>
      <c r="AJ8" s="7"/>
      <c r="AK8" s="1">
        <v>2010</v>
      </c>
      <c r="AL8" s="1">
        <v>0.31962511999999998</v>
      </c>
      <c r="AM8" s="7">
        <v>7.5166380000000005E-2</v>
      </c>
      <c r="AN8" s="7">
        <v>0</v>
      </c>
      <c r="AO8" s="7">
        <v>0</v>
      </c>
      <c r="AP8" s="7">
        <v>2.5982439999999999E-2</v>
      </c>
      <c r="AQ8" s="7">
        <v>2.453984E-2</v>
      </c>
      <c r="AR8" s="7">
        <v>0.12630939999999999</v>
      </c>
      <c r="AS8" s="7">
        <v>0</v>
      </c>
      <c r="AT8" s="7">
        <v>0.42837681999999999</v>
      </c>
      <c r="AU8" s="7"/>
      <c r="AV8" s="7"/>
      <c r="AW8" s="1">
        <v>2010</v>
      </c>
      <c r="AX8" s="1">
        <v>0.41643980000000003</v>
      </c>
      <c r="AY8" s="7">
        <v>8.5019339999999999E-2</v>
      </c>
      <c r="AZ8" s="7">
        <v>1.8731830000000001E-2</v>
      </c>
      <c r="BA8" s="7">
        <v>0</v>
      </c>
      <c r="BB8" s="7">
        <v>0</v>
      </c>
      <c r="BC8" s="7">
        <v>0</v>
      </c>
      <c r="BD8" s="7">
        <v>6.176997E-2</v>
      </c>
      <c r="BE8" s="7">
        <v>0</v>
      </c>
      <c r="BF8" s="7">
        <v>0.41803905000000002</v>
      </c>
    </row>
    <row r="9" spans="1:58" ht="15.75" x14ac:dyDescent="0.25">
      <c r="A9" s="1">
        <v>2011</v>
      </c>
      <c r="B9" s="1">
        <v>0.28946792999999998</v>
      </c>
      <c r="C9" s="1">
        <v>1.9323570000000002E-2</v>
      </c>
      <c r="D9" s="1">
        <v>4.76281E-2</v>
      </c>
      <c r="E9" s="1">
        <v>0</v>
      </c>
      <c r="F9" s="1">
        <v>0</v>
      </c>
      <c r="G9" s="1">
        <v>3.8986850000000003E-2</v>
      </c>
      <c r="H9" s="1">
        <v>5.7846969999999998E-2</v>
      </c>
      <c r="I9" s="1">
        <v>1.721141E-2</v>
      </c>
      <c r="J9" s="1">
        <v>0.52953517999999999</v>
      </c>
      <c r="K9" s="7"/>
      <c r="L9" s="7"/>
      <c r="M9" s="1">
        <v>2011</v>
      </c>
      <c r="N9" s="1">
        <v>0.47754830999999998</v>
      </c>
      <c r="O9" s="7">
        <v>4.1202620000000002E-2</v>
      </c>
      <c r="P9" s="7">
        <v>3.3342289999999997E-2</v>
      </c>
      <c r="Q9" s="7">
        <v>0</v>
      </c>
      <c r="R9" s="7">
        <v>0</v>
      </c>
      <c r="S9" s="7">
        <v>1.2990639999999999E-2</v>
      </c>
      <c r="T9" s="7">
        <v>0.11441112000000001</v>
      </c>
      <c r="U9" s="7">
        <v>0</v>
      </c>
      <c r="V9" s="7">
        <v>0.32050503000000002</v>
      </c>
      <c r="W9" s="7"/>
      <c r="X9" s="7"/>
      <c r="Y9" s="1">
        <v>2011</v>
      </c>
      <c r="Z9" s="1">
        <v>0.58190185000000005</v>
      </c>
      <c r="AA9" s="7">
        <v>0.12970086</v>
      </c>
      <c r="AB9" s="7">
        <v>1.3748120000000001E-2</v>
      </c>
      <c r="AC9" s="7">
        <v>0</v>
      </c>
      <c r="AD9" s="7">
        <v>0</v>
      </c>
      <c r="AE9" s="7">
        <v>0</v>
      </c>
      <c r="AF9" s="7">
        <v>4.8238320000000001E-2</v>
      </c>
      <c r="AG9" s="7">
        <v>0</v>
      </c>
      <c r="AH9" s="7">
        <v>0.22641085999999999</v>
      </c>
      <c r="AI9" s="7"/>
      <c r="AJ9" s="7"/>
      <c r="AK9" s="1">
        <v>2011</v>
      </c>
      <c r="AL9" s="1">
        <v>0.38632436999999997</v>
      </c>
      <c r="AM9" s="7">
        <v>0.10614168</v>
      </c>
      <c r="AN9" s="7">
        <v>0</v>
      </c>
      <c r="AO9" s="7">
        <v>0</v>
      </c>
      <c r="AP9" s="7">
        <v>0</v>
      </c>
      <c r="AQ9" s="7">
        <v>0</v>
      </c>
      <c r="AR9" s="7">
        <v>2.7249499999999999E-2</v>
      </c>
      <c r="AS9" s="7">
        <v>4.0427800000000002E-3</v>
      </c>
      <c r="AT9" s="7">
        <v>0.47624167000000001</v>
      </c>
      <c r="AU9" s="7"/>
      <c r="AV9" s="7"/>
      <c r="AW9" s="1">
        <v>2011</v>
      </c>
      <c r="AX9" s="1">
        <v>0.44271877999999998</v>
      </c>
      <c r="AY9" s="7">
        <v>6.54034E-2</v>
      </c>
      <c r="AZ9" s="7">
        <v>1.676656E-2</v>
      </c>
      <c r="BA9" s="7">
        <v>0</v>
      </c>
      <c r="BB9" s="7">
        <v>0</v>
      </c>
      <c r="BC9" s="7">
        <v>1.231202E-2</v>
      </c>
      <c r="BD9" s="7">
        <v>0.14890481</v>
      </c>
      <c r="BE9" s="7">
        <v>0</v>
      </c>
      <c r="BF9" s="7">
        <v>0.31389442000000001</v>
      </c>
    </row>
    <row r="10" spans="1:58" ht="15.75" x14ac:dyDescent="0.25">
      <c r="A10" s="1">
        <v>2012</v>
      </c>
      <c r="B10" s="1">
        <v>0.36035618000000003</v>
      </c>
      <c r="C10" s="1">
        <v>8.0947320000000003E-2</v>
      </c>
      <c r="D10" s="1">
        <v>4.9059899999999997E-2</v>
      </c>
      <c r="E10" s="1">
        <v>0</v>
      </c>
      <c r="F10" s="1">
        <v>0</v>
      </c>
      <c r="G10" s="1">
        <v>0</v>
      </c>
      <c r="H10" s="1">
        <v>8.1280569999999996E-2</v>
      </c>
      <c r="I10" s="1">
        <v>0</v>
      </c>
      <c r="J10" s="1">
        <v>0.42835602</v>
      </c>
      <c r="K10" s="7"/>
      <c r="L10" s="7"/>
      <c r="M10" s="1">
        <v>2012</v>
      </c>
      <c r="N10" s="1">
        <v>0.40942813</v>
      </c>
      <c r="O10" s="7">
        <v>5.0695560000000001E-2</v>
      </c>
      <c r="P10" s="7">
        <v>0</v>
      </c>
      <c r="Q10" s="7">
        <v>0</v>
      </c>
      <c r="R10" s="7">
        <v>0</v>
      </c>
      <c r="S10" s="7">
        <v>2.4090799999999999E-2</v>
      </c>
      <c r="T10" s="7">
        <v>0.11728466</v>
      </c>
      <c r="U10" s="7">
        <v>0</v>
      </c>
      <c r="V10" s="7">
        <v>0.39850084000000002</v>
      </c>
      <c r="W10" s="7"/>
      <c r="X10" s="7"/>
      <c r="Y10" s="1">
        <v>2012</v>
      </c>
      <c r="Z10" s="1">
        <v>0.60979359</v>
      </c>
      <c r="AA10" s="7">
        <v>2.981052E-2</v>
      </c>
      <c r="AB10" s="7">
        <v>4.3808670000000001E-2</v>
      </c>
      <c r="AC10" s="7">
        <v>0</v>
      </c>
      <c r="AD10" s="7">
        <v>0</v>
      </c>
      <c r="AE10" s="7">
        <v>0</v>
      </c>
      <c r="AF10" s="7">
        <v>4.1962760000000002E-2</v>
      </c>
      <c r="AG10" s="7">
        <v>1.734604E-2</v>
      </c>
      <c r="AH10" s="7">
        <v>0.25727842000000001</v>
      </c>
      <c r="AI10" s="7"/>
      <c r="AJ10" s="7"/>
      <c r="AK10" s="1">
        <v>2012</v>
      </c>
      <c r="AL10" s="1">
        <v>0.32626293000000001</v>
      </c>
      <c r="AM10" s="7">
        <v>5.9939689999999997E-2</v>
      </c>
      <c r="AN10" s="7">
        <v>8.6768979999999996E-2</v>
      </c>
      <c r="AO10" s="7">
        <v>5.4931109999999998E-2</v>
      </c>
      <c r="AP10" s="7">
        <v>0</v>
      </c>
      <c r="AQ10" s="7">
        <v>0</v>
      </c>
      <c r="AR10" s="7">
        <v>2.2211930000000001E-2</v>
      </c>
      <c r="AS10" s="7">
        <v>0</v>
      </c>
      <c r="AT10" s="7">
        <v>0.44988536000000001</v>
      </c>
      <c r="AU10" s="7"/>
      <c r="AV10" s="7"/>
      <c r="AW10" s="1">
        <v>2012</v>
      </c>
      <c r="AX10" s="1">
        <v>0.54226525999999997</v>
      </c>
      <c r="AY10" s="7">
        <v>7.8082799999999994E-2</v>
      </c>
      <c r="AZ10" s="7">
        <v>7.9112399999999999E-3</v>
      </c>
      <c r="BA10" s="7">
        <v>0</v>
      </c>
      <c r="BB10" s="7">
        <v>0</v>
      </c>
      <c r="BC10" s="7">
        <v>0</v>
      </c>
      <c r="BD10" s="7">
        <v>3.5015820000000003E-2</v>
      </c>
      <c r="BE10" s="7">
        <v>0</v>
      </c>
      <c r="BF10" s="7">
        <v>0.33672487000000001</v>
      </c>
    </row>
    <row r="11" spans="1:58" ht="15.75" x14ac:dyDescent="0.25">
      <c r="A11" s="1">
        <v>2013</v>
      </c>
      <c r="B11" s="1">
        <v>0.34495039</v>
      </c>
      <c r="C11" s="1">
        <v>6.5441180000000002E-2</v>
      </c>
      <c r="D11" s="1">
        <v>4.6753469999999998E-2</v>
      </c>
      <c r="E11" s="1">
        <v>0</v>
      </c>
      <c r="F11" s="1">
        <v>0</v>
      </c>
      <c r="G11" s="1">
        <v>0</v>
      </c>
      <c r="H11" s="1">
        <v>0</v>
      </c>
      <c r="I11" s="1">
        <v>1.788031E-2</v>
      </c>
      <c r="J11" s="1">
        <v>0.52497464999999999</v>
      </c>
      <c r="K11" s="7"/>
      <c r="L11" s="7"/>
      <c r="M11" s="1">
        <v>2013</v>
      </c>
      <c r="N11" s="1">
        <v>0.41129538999999998</v>
      </c>
      <c r="O11" s="7">
        <v>6.2580490000000003E-2</v>
      </c>
      <c r="P11" s="7">
        <v>1.206258E-2</v>
      </c>
      <c r="Q11" s="7">
        <v>0</v>
      </c>
      <c r="R11" s="7">
        <v>0</v>
      </c>
      <c r="S11" s="7">
        <v>2.4204500000000002E-3</v>
      </c>
      <c r="T11" s="7">
        <v>0.13045430999999999</v>
      </c>
      <c r="U11" s="7">
        <v>0</v>
      </c>
      <c r="V11" s="7">
        <v>0.38118677000000001</v>
      </c>
      <c r="W11" s="7"/>
      <c r="X11" s="7"/>
      <c r="Y11" s="1">
        <v>2013</v>
      </c>
      <c r="Z11" s="1">
        <v>0.56735247</v>
      </c>
      <c r="AA11" s="7">
        <v>2.7966900000000001E-3</v>
      </c>
      <c r="AB11" s="7">
        <v>2.3550999999999999E-2</v>
      </c>
      <c r="AC11" s="7">
        <v>1.2550800000000001E-2</v>
      </c>
      <c r="AD11" s="7">
        <v>0</v>
      </c>
      <c r="AE11" s="7">
        <v>4.190866E-2</v>
      </c>
      <c r="AF11" s="7">
        <v>4.3351279999999999E-2</v>
      </c>
      <c r="AG11" s="7">
        <v>0</v>
      </c>
      <c r="AH11" s="7">
        <v>0.30848911000000001</v>
      </c>
      <c r="AI11" s="7"/>
      <c r="AJ11" s="7"/>
      <c r="AK11" s="1">
        <v>2013</v>
      </c>
      <c r="AL11" s="1">
        <v>0.25958177999999998</v>
      </c>
      <c r="AM11" s="7">
        <v>7.8570100000000004E-2</v>
      </c>
      <c r="AN11" s="7">
        <v>3.9365169999999998E-2</v>
      </c>
      <c r="AO11" s="7">
        <v>6.7904480000000003E-2</v>
      </c>
      <c r="AP11" s="7">
        <v>0</v>
      </c>
      <c r="AQ11" s="7">
        <v>2.9462120000000001E-2</v>
      </c>
      <c r="AR11" s="7">
        <v>3.220373E-2</v>
      </c>
      <c r="AS11" s="7">
        <v>0</v>
      </c>
      <c r="AT11" s="7">
        <v>0.49291262000000002</v>
      </c>
      <c r="AU11" s="7"/>
      <c r="AV11" s="7"/>
      <c r="AW11" s="1">
        <v>2013</v>
      </c>
      <c r="AX11" s="1">
        <v>0.42941771000000001</v>
      </c>
      <c r="AY11" s="7">
        <v>7.0092829999999995E-2</v>
      </c>
      <c r="AZ11" s="7">
        <v>0</v>
      </c>
      <c r="BA11" s="7">
        <v>0</v>
      </c>
      <c r="BB11" s="7">
        <v>3.373135E-2</v>
      </c>
      <c r="BC11" s="7">
        <v>0</v>
      </c>
      <c r="BD11" s="7">
        <v>3.6958560000000001E-2</v>
      </c>
      <c r="BE11" s="7">
        <v>0</v>
      </c>
      <c r="BF11" s="7">
        <v>0.42979953999999998</v>
      </c>
    </row>
    <row r="12" spans="1:58" ht="15.75" x14ac:dyDescent="0.25">
      <c r="A12" s="1">
        <v>2014</v>
      </c>
      <c r="B12" s="1">
        <v>0.31457151</v>
      </c>
      <c r="C12" s="1">
        <v>5.138086E-2</v>
      </c>
      <c r="D12" s="1">
        <v>4.9144229999999997E-2</v>
      </c>
      <c r="E12" s="1">
        <v>2.536159E-2</v>
      </c>
      <c r="F12" s="1">
        <v>0</v>
      </c>
      <c r="G12" s="1">
        <v>0</v>
      </c>
      <c r="H12" s="1">
        <v>0.13849264999999999</v>
      </c>
      <c r="I12" s="1">
        <v>6.1692300000000004E-3</v>
      </c>
      <c r="J12" s="1">
        <v>0.41487992000000001</v>
      </c>
      <c r="K12" s="7"/>
      <c r="L12" s="7"/>
      <c r="M12" s="1">
        <v>2014</v>
      </c>
      <c r="N12" s="1">
        <v>0.41005447</v>
      </c>
      <c r="O12" s="7">
        <v>7.597458E-2</v>
      </c>
      <c r="P12" s="7">
        <v>4.325441E-2</v>
      </c>
      <c r="Q12" s="7">
        <v>0</v>
      </c>
      <c r="R12" s="7">
        <v>3.131308E-2</v>
      </c>
      <c r="S12" s="7">
        <v>8.6385699999999999E-3</v>
      </c>
      <c r="T12" s="7">
        <v>0.15427176000000001</v>
      </c>
      <c r="U12" s="7">
        <v>0</v>
      </c>
      <c r="V12" s="7">
        <v>0.27649312999999998</v>
      </c>
      <c r="W12" s="7"/>
      <c r="X12" s="7"/>
      <c r="Y12" s="1">
        <v>2014</v>
      </c>
      <c r="Z12" s="1">
        <v>0.43383888999999998</v>
      </c>
      <c r="AA12" s="7">
        <v>2.763239E-2</v>
      </c>
      <c r="AB12" s="7">
        <v>0.15703703999999999</v>
      </c>
      <c r="AC12" s="7">
        <v>0</v>
      </c>
      <c r="AD12" s="7">
        <v>3.1572959999999997E-2</v>
      </c>
      <c r="AE12" s="7">
        <v>1.140294E-2</v>
      </c>
      <c r="AF12" s="7">
        <v>3.1300799999999999E-3</v>
      </c>
      <c r="AG12" s="7">
        <v>0</v>
      </c>
      <c r="AH12" s="7">
        <v>0.33538571</v>
      </c>
      <c r="AI12" s="7"/>
      <c r="AJ12" s="7"/>
      <c r="AK12" s="1">
        <v>2014</v>
      </c>
      <c r="AL12" s="1">
        <v>0.36932721000000002</v>
      </c>
      <c r="AM12" s="7">
        <v>8.0909930000000005E-2</v>
      </c>
      <c r="AN12" s="7">
        <v>8.8416529999999993E-2</v>
      </c>
      <c r="AO12" s="7">
        <v>0</v>
      </c>
      <c r="AP12" s="7">
        <v>0</v>
      </c>
      <c r="AQ12" s="7">
        <v>0</v>
      </c>
      <c r="AR12" s="7">
        <v>7.6617359999999995E-2</v>
      </c>
      <c r="AS12" s="7">
        <v>0</v>
      </c>
      <c r="AT12" s="7">
        <v>0.38472897</v>
      </c>
      <c r="AU12" s="7"/>
      <c r="AV12" s="7"/>
      <c r="AW12" s="1">
        <v>2014</v>
      </c>
      <c r="AX12" s="1">
        <v>0.45792399</v>
      </c>
      <c r="AY12" s="7">
        <v>0.10804999</v>
      </c>
      <c r="AZ12" s="7">
        <v>0</v>
      </c>
      <c r="BA12" s="7">
        <v>0</v>
      </c>
      <c r="BB12" s="7">
        <v>0</v>
      </c>
      <c r="BC12" s="7">
        <v>2.8160749999999998E-2</v>
      </c>
      <c r="BD12" s="7">
        <v>3.661412E-2</v>
      </c>
      <c r="BE12" s="7">
        <v>0</v>
      </c>
      <c r="BF12" s="7">
        <v>0.36925114999999997</v>
      </c>
    </row>
    <row r="13" spans="1:58" ht="15.75" x14ac:dyDescent="0.25">
      <c r="A13" s="1">
        <v>2015</v>
      </c>
      <c r="B13" s="1">
        <v>0.28008403999999998</v>
      </c>
      <c r="C13" s="1">
        <v>3.3963960000000001E-2</v>
      </c>
      <c r="D13" s="1">
        <v>5.6884300000000004E-3</v>
      </c>
      <c r="E13" s="1">
        <v>0</v>
      </c>
      <c r="F13" s="1">
        <v>2.3194969999999999E-2</v>
      </c>
      <c r="G13" s="1">
        <v>9.3151689999999995E-2</v>
      </c>
      <c r="H13" s="1">
        <v>4.573501E-2</v>
      </c>
      <c r="I13" s="1">
        <v>0</v>
      </c>
      <c r="J13" s="1">
        <v>0.51818191000000002</v>
      </c>
      <c r="K13" s="7"/>
      <c r="L13" s="1"/>
      <c r="M13" s="1">
        <v>2015</v>
      </c>
      <c r="N13" s="1">
        <v>0.50754182000000003</v>
      </c>
      <c r="O13" s="7">
        <v>8.7554560000000003E-2</v>
      </c>
      <c r="P13" s="7">
        <v>0</v>
      </c>
      <c r="Q13" s="7">
        <v>0</v>
      </c>
      <c r="R13" s="7">
        <v>0</v>
      </c>
      <c r="S13" s="7">
        <v>0</v>
      </c>
      <c r="T13" s="7">
        <v>3.496208E-2</v>
      </c>
      <c r="U13" s="7">
        <v>0</v>
      </c>
      <c r="V13" s="7">
        <v>0.36994154000000001</v>
      </c>
      <c r="W13" s="7"/>
      <c r="X13" s="7"/>
      <c r="Y13" s="1">
        <v>2015</v>
      </c>
      <c r="Z13" s="1">
        <v>0.55321242000000004</v>
      </c>
      <c r="AA13" s="7">
        <v>3.8552459999999997E-2</v>
      </c>
      <c r="AB13" s="7">
        <v>2.4013670000000001E-2</v>
      </c>
      <c r="AC13" s="7">
        <v>0</v>
      </c>
      <c r="AD13" s="7">
        <v>0</v>
      </c>
      <c r="AE13" s="7">
        <v>0</v>
      </c>
      <c r="AF13" s="7">
        <v>0.10462765</v>
      </c>
      <c r="AG13" s="7">
        <v>0</v>
      </c>
      <c r="AH13" s="7">
        <v>0.2795938</v>
      </c>
      <c r="AI13" s="7"/>
      <c r="AJ13" s="7"/>
      <c r="AK13" s="1">
        <v>2015</v>
      </c>
      <c r="AL13" s="1">
        <v>0.26683701999999998</v>
      </c>
      <c r="AM13" s="7">
        <v>0.14055063000000001</v>
      </c>
      <c r="AN13" s="7">
        <v>0</v>
      </c>
      <c r="AO13" s="7">
        <v>0</v>
      </c>
      <c r="AP13" s="7">
        <v>8.0430299999999996E-3</v>
      </c>
      <c r="AQ13" s="7">
        <v>5.0855659999999997E-2</v>
      </c>
      <c r="AR13" s="7">
        <v>8.1482520000000003E-2</v>
      </c>
      <c r="AS13" s="7">
        <v>0</v>
      </c>
      <c r="AT13" s="7">
        <v>0.45223113999999998</v>
      </c>
      <c r="AU13" s="7"/>
      <c r="AV13" s="7"/>
      <c r="AW13" s="1">
        <v>2015</v>
      </c>
      <c r="AX13" s="1">
        <v>0.49645443</v>
      </c>
      <c r="AY13" s="7">
        <v>6.1295759999999998E-2</v>
      </c>
      <c r="AZ13" s="7">
        <v>6.5508299999999997E-3</v>
      </c>
      <c r="BA13" s="7">
        <v>0</v>
      </c>
      <c r="BB13" s="7">
        <v>0</v>
      </c>
      <c r="BC13" s="7">
        <v>0</v>
      </c>
      <c r="BD13" s="7">
        <v>8.5894709999999999E-2</v>
      </c>
      <c r="BE13" s="7">
        <v>0</v>
      </c>
      <c r="BF13" s="7">
        <v>0.34980425999999998</v>
      </c>
    </row>
    <row r="14" spans="1:58" ht="15.75" x14ac:dyDescent="0.25">
      <c r="A14" s="1">
        <v>2016</v>
      </c>
      <c r="B14" s="1">
        <v>0.29464922999999998</v>
      </c>
      <c r="C14" s="1">
        <v>8.6024599999999993E-3</v>
      </c>
      <c r="D14" s="1">
        <v>2.5896829999999999E-2</v>
      </c>
      <c r="E14" s="1">
        <v>1.791508E-2</v>
      </c>
      <c r="F14" s="1">
        <v>0</v>
      </c>
      <c r="G14" s="1">
        <v>6.969409E-2</v>
      </c>
      <c r="H14" s="1">
        <v>8.4918549999999995E-2</v>
      </c>
      <c r="I14" s="1">
        <v>4.0945919999999997E-2</v>
      </c>
      <c r="J14" s="1">
        <v>0.45737783999999998</v>
      </c>
      <c r="K14" s="7"/>
      <c r="L14" s="7"/>
      <c r="M14" s="1">
        <v>2016</v>
      </c>
      <c r="N14" s="1">
        <v>0.48975644000000002</v>
      </c>
      <c r="O14" s="7">
        <v>9.7406800000000002E-2</v>
      </c>
      <c r="P14" s="7">
        <v>3.3997920000000001E-2</v>
      </c>
      <c r="Q14" s="7">
        <v>0</v>
      </c>
      <c r="R14" s="7">
        <v>0</v>
      </c>
      <c r="S14" s="7">
        <v>0</v>
      </c>
      <c r="T14" s="7">
        <v>5.4592099999999998E-2</v>
      </c>
      <c r="U14" s="7">
        <v>1.1437910000000001E-2</v>
      </c>
      <c r="V14" s="7">
        <v>0.31280882999999998</v>
      </c>
      <c r="W14" s="7"/>
      <c r="X14" s="7"/>
      <c r="Y14" s="1">
        <v>2016</v>
      </c>
      <c r="Z14" s="1">
        <v>0.51993407999999997</v>
      </c>
      <c r="AA14" s="7">
        <v>6.0218470000000003E-2</v>
      </c>
      <c r="AB14" s="7">
        <v>3.0034169999999999E-2</v>
      </c>
      <c r="AC14" s="7">
        <v>0</v>
      </c>
      <c r="AD14" s="7">
        <v>3.2891800000000001E-3</v>
      </c>
      <c r="AE14" s="7">
        <v>0</v>
      </c>
      <c r="AF14" s="7"/>
      <c r="AG14" s="7">
        <v>0</v>
      </c>
      <c r="AH14" s="7">
        <v>0.38652409999999998</v>
      </c>
      <c r="AI14" s="7"/>
      <c r="AJ14" s="7"/>
      <c r="AK14" s="1">
        <v>2016</v>
      </c>
      <c r="AL14" s="1">
        <v>0.34529770999999998</v>
      </c>
      <c r="AM14" s="7">
        <v>6.7483199999999993E-2</v>
      </c>
      <c r="AN14" s="7">
        <v>3.2300200000000001E-2</v>
      </c>
      <c r="AO14" s="7">
        <v>0</v>
      </c>
      <c r="AP14" s="7">
        <v>0</v>
      </c>
      <c r="AQ14" s="7">
        <v>0</v>
      </c>
      <c r="AR14" s="7">
        <v>0</v>
      </c>
      <c r="AS14" s="7">
        <v>4.4618000000000001E-3</v>
      </c>
      <c r="AT14" s="7">
        <v>0.55045708000000004</v>
      </c>
      <c r="AU14" s="7"/>
      <c r="AV14" s="7"/>
      <c r="AW14" s="1">
        <v>2016</v>
      </c>
      <c r="AX14" s="1">
        <v>0.46108745000000001</v>
      </c>
      <c r="AY14" s="7">
        <v>3.9230029999999999E-2</v>
      </c>
      <c r="AZ14" s="7">
        <v>2.920822E-2</v>
      </c>
      <c r="BA14" s="7">
        <v>0</v>
      </c>
      <c r="BB14" s="7">
        <v>0</v>
      </c>
      <c r="BC14" s="7">
        <v>0</v>
      </c>
      <c r="BD14" s="7">
        <v>6.833198E-2</v>
      </c>
      <c r="BE14" s="7">
        <v>9.3453000000000004E-4</v>
      </c>
      <c r="BF14" s="7">
        <v>0.40120779000000001</v>
      </c>
    </row>
    <row r="15" spans="1:58" ht="15.75" x14ac:dyDescent="0.25">
      <c r="A15" s="1">
        <v>2017</v>
      </c>
      <c r="B15" s="1">
        <v>0.31497591000000003</v>
      </c>
      <c r="C15" s="1">
        <v>9.0159920000000005E-2</v>
      </c>
      <c r="D15" s="1">
        <v>5.4143160000000003E-2</v>
      </c>
      <c r="E15" s="1">
        <v>3.258138E-2</v>
      </c>
      <c r="F15" s="1">
        <v>0</v>
      </c>
      <c r="G15" s="1">
        <v>0</v>
      </c>
      <c r="H15" s="1">
        <v>1.121261E-2</v>
      </c>
      <c r="I15" s="1">
        <v>0</v>
      </c>
      <c r="J15" s="1">
        <v>0.49692702</v>
      </c>
      <c r="K15" s="7"/>
      <c r="L15" s="7"/>
      <c r="M15" s="1">
        <v>2017</v>
      </c>
      <c r="N15" s="1">
        <v>0.44090286000000001</v>
      </c>
      <c r="O15" s="7">
        <v>3.4428840000000002E-2</v>
      </c>
      <c r="P15" s="7">
        <v>0</v>
      </c>
      <c r="Q15" s="7">
        <v>2.5135930000000001E-2</v>
      </c>
      <c r="R15" s="7">
        <v>0</v>
      </c>
      <c r="S15" s="7">
        <v>0</v>
      </c>
      <c r="T15" s="7">
        <v>6.9759580000000002E-2</v>
      </c>
      <c r="U15" s="7">
        <v>1.203911E-2</v>
      </c>
      <c r="V15" s="7">
        <v>0.41773368</v>
      </c>
      <c r="W15" s="7"/>
      <c r="X15" s="7"/>
      <c r="Y15" s="1">
        <v>2017</v>
      </c>
      <c r="Z15" s="1">
        <v>0.56102065999999995</v>
      </c>
      <c r="AA15" s="7">
        <v>2.3978059999999999E-2</v>
      </c>
      <c r="AB15" s="7">
        <v>3.1526440000000003E-2</v>
      </c>
      <c r="AC15" s="7">
        <v>1.381429E-2</v>
      </c>
      <c r="AD15" s="7">
        <v>0</v>
      </c>
      <c r="AE15" s="7">
        <v>1.2043989999999999E-2</v>
      </c>
      <c r="AF15" s="7">
        <v>8.4059720000000004E-2</v>
      </c>
      <c r="AG15" s="7">
        <v>0</v>
      </c>
      <c r="AH15" s="7">
        <v>0.27355684000000002</v>
      </c>
      <c r="AI15" s="7"/>
      <c r="AJ15" s="7"/>
      <c r="AK15" s="1">
        <v>2017</v>
      </c>
      <c r="AL15" s="1">
        <v>0.31508730000000001</v>
      </c>
      <c r="AM15" s="7">
        <v>6.9573910000000003E-2</v>
      </c>
      <c r="AN15" s="7">
        <v>0</v>
      </c>
      <c r="AO15" s="7">
        <v>0</v>
      </c>
      <c r="AP15" s="7">
        <v>0</v>
      </c>
      <c r="AQ15" s="7">
        <v>0</v>
      </c>
      <c r="AR15" s="7">
        <v>0.19588125000000001</v>
      </c>
      <c r="AS15" s="7">
        <v>0</v>
      </c>
      <c r="AT15" s="7">
        <v>0.41945753000000002</v>
      </c>
      <c r="AU15" s="7"/>
      <c r="AV15" s="7"/>
      <c r="AW15" s="1">
        <v>2017</v>
      </c>
      <c r="AX15" s="1">
        <v>0.39564907999999999</v>
      </c>
      <c r="AY15" s="7">
        <v>6.1258020000000003E-2</v>
      </c>
      <c r="AZ15" s="7">
        <v>4.0722719999999997E-2</v>
      </c>
      <c r="BA15" s="7">
        <v>0</v>
      </c>
      <c r="BB15" s="7">
        <v>0</v>
      </c>
      <c r="BC15" s="7">
        <v>0</v>
      </c>
      <c r="BD15" s="7">
        <v>0.14974902000000001</v>
      </c>
      <c r="BE15" s="7">
        <v>0</v>
      </c>
      <c r="BF15" s="7">
        <v>0.35262115999999999</v>
      </c>
    </row>
    <row r="16" spans="1:58" ht="15.75" x14ac:dyDescent="0.25">
      <c r="A16" s="1">
        <v>2018</v>
      </c>
      <c r="B16" s="1">
        <v>0.28510078999999999</v>
      </c>
      <c r="C16" s="1">
        <v>8.5646920000000001E-2</v>
      </c>
      <c r="D16" s="1">
        <v>1.490767E-2</v>
      </c>
      <c r="E16" s="1">
        <v>0</v>
      </c>
      <c r="F16" s="1">
        <v>0</v>
      </c>
      <c r="G16" s="1">
        <v>0</v>
      </c>
      <c r="H16" s="1">
        <v>7.3358510000000002E-2</v>
      </c>
      <c r="I16" s="1">
        <v>0</v>
      </c>
      <c r="J16" s="1">
        <v>0.54098610999999996</v>
      </c>
      <c r="K16" s="7"/>
      <c r="L16" s="7"/>
      <c r="M16" s="1">
        <v>2018</v>
      </c>
      <c r="N16" s="1">
        <v>0.46533063000000002</v>
      </c>
      <c r="O16" s="7">
        <v>6.0454800000000003E-2</v>
      </c>
      <c r="P16" s="7">
        <v>0</v>
      </c>
      <c r="Q16" s="7">
        <v>0</v>
      </c>
      <c r="R16" s="7">
        <v>0</v>
      </c>
      <c r="S16" s="7">
        <v>1.576901E-2</v>
      </c>
      <c r="T16" s="7">
        <v>9.7423910000000002E-2</v>
      </c>
      <c r="U16" s="7">
        <v>0</v>
      </c>
      <c r="V16" s="7">
        <v>0.36102163999999998</v>
      </c>
      <c r="W16" s="7"/>
      <c r="X16" s="7"/>
      <c r="Y16" s="1">
        <v>2018</v>
      </c>
      <c r="Z16" s="1">
        <v>0.39725078000000003</v>
      </c>
      <c r="AA16" s="7">
        <v>8.1184820000000005E-2</v>
      </c>
      <c r="AB16" s="7">
        <v>0</v>
      </c>
      <c r="AC16" s="7">
        <v>9.0290819999999994E-2</v>
      </c>
      <c r="AD16" s="7">
        <v>0</v>
      </c>
      <c r="AE16" s="7">
        <v>0</v>
      </c>
      <c r="AF16" s="7">
        <v>0.11773111</v>
      </c>
      <c r="AG16" s="7">
        <v>2.192479E-2</v>
      </c>
      <c r="AH16" s="7">
        <v>0.29161768999999998</v>
      </c>
      <c r="AI16" s="7"/>
      <c r="AJ16" s="7"/>
      <c r="AK16" s="1">
        <v>2018</v>
      </c>
      <c r="AL16" s="1">
        <v>0.30343118000000002</v>
      </c>
      <c r="AM16" s="7">
        <v>1.1806860000000001E-2</v>
      </c>
      <c r="AN16" s="7">
        <v>9.5033800000000005E-3</v>
      </c>
      <c r="AO16" s="7">
        <v>2.8562560000000001E-2</v>
      </c>
      <c r="AP16" s="7">
        <v>0</v>
      </c>
      <c r="AQ16" s="7">
        <v>0</v>
      </c>
      <c r="AR16" s="7">
        <v>4.1482900000000003E-2</v>
      </c>
      <c r="AS16" s="7">
        <v>0</v>
      </c>
      <c r="AT16" s="7">
        <v>0.60521312000000005</v>
      </c>
      <c r="AU16" s="7"/>
      <c r="AV16" s="7"/>
      <c r="AW16" s="1">
        <v>2018</v>
      </c>
      <c r="AX16" s="1">
        <v>0.37394417000000002</v>
      </c>
      <c r="AY16" s="7">
        <v>1.552425E-2</v>
      </c>
      <c r="AZ16" s="7">
        <v>2.7121119999999999E-2</v>
      </c>
      <c r="BA16" s="7">
        <v>0</v>
      </c>
      <c r="BB16" s="7">
        <v>0</v>
      </c>
      <c r="BC16" s="7">
        <v>0</v>
      </c>
      <c r="BD16" s="7">
        <v>9.0461130000000001E-2</v>
      </c>
      <c r="BE16" s="7">
        <v>0</v>
      </c>
      <c r="BF16" s="7">
        <v>0.49294933000000002</v>
      </c>
    </row>
    <row r="17" spans="1:58" ht="15.75" x14ac:dyDescent="0.25">
      <c r="A17" s="1">
        <v>2019</v>
      </c>
      <c r="B17" s="1">
        <v>0.32699673000000001</v>
      </c>
      <c r="C17" s="1">
        <v>9.3723360000000006E-2</v>
      </c>
      <c r="D17" s="1">
        <v>8.6753500000000001E-3</v>
      </c>
      <c r="E17" s="1">
        <v>0</v>
      </c>
      <c r="F17" s="1">
        <v>0</v>
      </c>
      <c r="G17" s="1">
        <v>0</v>
      </c>
      <c r="H17" s="1">
        <v>8.9209200000000002E-2</v>
      </c>
      <c r="I17" s="1">
        <v>0</v>
      </c>
      <c r="J17" s="1">
        <v>0.48139535999999999</v>
      </c>
      <c r="K17" s="7"/>
      <c r="L17" s="7"/>
      <c r="M17" s="1">
        <v>2019</v>
      </c>
      <c r="N17" s="1">
        <v>0.40380284999999999</v>
      </c>
      <c r="O17" s="7">
        <v>7.5233910000000001E-2</v>
      </c>
      <c r="P17" s="7">
        <v>8.7979100000000008E-3</v>
      </c>
      <c r="Q17" s="7">
        <v>1.0077880000000001E-2</v>
      </c>
      <c r="R17" s="7">
        <v>0</v>
      </c>
      <c r="S17" s="7">
        <v>0</v>
      </c>
      <c r="T17" s="7">
        <v>8.1492949999999995E-2</v>
      </c>
      <c r="U17" s="7">
        <v>0</v>
      </c>
      <c r="V17" s="7">
        <v>0.42059450999999998</v>
      </c>
      <c r="W17" s="7"/>
      <c r="X17" s="7"/>
      <c r="Y17" s="1">
        <v>2019</v>
      </c>
      <c r="Z17" s="1">
        <v>0.39742611</v>
      </c>
      <c r="AA17" s="7">
        <v>2.587851E-2</v>
      </c>
      <c r="AB17" s="7">
        <v>9.1977600000000007E-2</v>
      </c>
      <c r="AC17" s="7">
        <v>0</v>
      </c>
      <c r="AD17" s="7">
        <v>4.8004700000000003E-3</v>
      </c>
      <c r="AE17" s="7">
        <v>0</v>
      </c>
      <c r="AF17" s="7">
        <v>1.429483E-2</v>
      </c>
      <c r="AG17" s="7">
        <v>0</v>
      </c>
      <c r="AH17" s="7">
        <v>0.46562248000000001</v>
      </c>
      <c r="AI17" s="7"/>
      <c r="AJ17" s="7"/>
      <c r="AK17" s="1">
        <v>2019</v>
      </c>
      <c r="AL17" s="1">
        <v>9.4700469999999995E-2</v>
      </c>
      <c r="AM17" s="7">
        <v>0.11102888</v>
      </c>
      <c r="AN17" s="7">
        <v>7.2413619999999998E-2</v>
      </c>
      <c r="AO17" s="7">
        <v>0</v>
      </c>
      <c r="AP17" s="7">
        <v>0</v>
      </c>
      <c r="AQ17" s="7">
        <v>0</v>
      </c>
      <c r="AR17" s="7">
        <v>0.10263864</v>
      </c>
      <c r="AS17" s="7">
        <v>0</v>
      </c>
      <c r="AT17" s="7">
        <v>0.61921839000000001</v>
      </c>
      <c r="AU17" s="7"/>
      <c r="AV17" s="7"/>
      <c r="AW17" s="1">
        <v>2019</v>
      </c>
      <c r="AX17" s="1">
        <v>0.34294782000000001</v>
      </c>
      <c r="AY17" s="7">
        <v>0</v>
      </c>
      <c r="AZ17" s="7">
        <v>1.177223E-2</v>
      </c>
      <c r="BA17" s="7">
        <v>2.1366530000000002E-2</v>
      </c>
      <c r="BB17" s="7">
        <v>6.6638409999999995E-2</v>
      </c>
      <c r="BC17" s="7">
        <v>0</v>
      </c>
      <c r="BD17" s="7">
        <v>0</v>
      </c>
      <c r="BE17" s="7">
        <v>0</v>
      </c>
      <c r="BF17" s="7">
        <v>0.55727501999999995</v>
      </c>
    </row>
    <row r="18" spans="1:58" ht="15.75" x14ac:dyDescent="0.25">
      <c r="A18" s="1">
        <v>2020</v>
      </c>
      <c r="B18" s="1">
        <v>0.31893779</v>
      </c>
      <c r="C18" s="1">
        <v>8.7969629999999993E-2</v>
      </c>
      <c r="D18" s="1">
        <v>3.9852779999999997E-2</v>
      </c>
      <c r="E18" s="1">
        <v>0</v>
      </c>
      <c r="F18" s="1">
        <v>0</v>
      </c>
      <c r="G18" s="1">
        <v>7.0457000000000006E-2</v>
      </c>
      <c r="H18" s="1">
        <v>0</v>
      </c>
      <c r="I18" s="1">
        <v>0</v>
      </c>
      <c r="J18" s="1">
        <v>0.48278280000000001</v>
      </c>
      <c r="K18" s="7"/>
      <c r="L18" s="7"/>
      <c r="M18" s="1">
        <v>2020</v>
      </c>
      <c r="N18" s="1">
        <v>0.18242954</v>
      </c>
      <c r="O18" s="7">
        <v>3.5895419999999997E-2</v>
      </c>
      <c r="P18" s="7">
        <v>0</v>
      </c>
      <c r="Q18" s="7">
        <v>4.3405249999999999E-2</v>
      </c>
      <c r="R18" s="7">
        <v>0</v>
      </c>
      <c r="S18" s="7">
        <v>0</v>
      </c>
      <c r="T18" s="7">
        <v>0.15507962</v>
      </c>
      <c r="U18" s="7">
        <v>1.2950369999999999E-2</v>
      </c>
      <c r="V18" s="7">
        <v>0.57023981000000001</v>
      </c>
      <c r="W18" s="7"/>
      <c r="X18" s="7"/>
      <c r="Y18" s="1">
        <v>2020</v>
      </c>
      <c r="Z18" s="1">
        <v>0.47846875</v>
      </c>
      <c r="AA18" s="7">
        <v>7.2440000000000004E-2</v>
      </c>
      <c r="AB18" s="7">
        <v>2.1738239999999999E-2</v>
      </c>
      <c r="AC18" s="7">
        <v>0</v>
      </c>
      <c r="AD18" s="7">
        <v>0</v>
      </c>
      <c r="AE18" s="7">
        <v>0</v>
      </c>
      <c r="AF18" s="7">
        <v>8.4937810000000002E-2</v>
      </c>
      <c r="AG18" s="7">
        <v>0</v>
      </c>
      <c r="AH18" s="7">
        <v>0.34241519999999998</v>
      </c>
      <c r="AI18" s="7"/>
      <c r="AJ18" s="7"/>
      <c r="AK18" s="1">
        <v>2020</v>
      </c>
      <c r="AL18" s="1">
        <v>0.24107904999999999</v>
      </c>
      <c r="AM18" s="7">
        <v>0.15280845000000001</v>
      </c>
      <c r="AN18" s="7">
        <v>4.1714349999999997E-2</v>
      </c>
      <c r="AO18" s="7">
        <v>0</v>
      </c>
      <c r="AP18" s="7">
        <v>0</v>
      </c>
      <c r="AQ18" s="7">
        <v>0</v>
      </c>
      <c r="AR18" s="7">
        <v>3.0549659999999999E-2</v>
      </c>
      <c r="AS18" s="7">
        <v>0</v>
      </c>
      <c r="AT18" s="7">
        <v>0.53384847999999996</v>
      </c>
      <c r="AU18" s="7"/>
      <c r="AV18" s="7"/>
      <c r="AW18" s="1">
        <v>2020</v>
      </c>
      <c r="AX18" s="1">
        <v>0.17970224000000001</v>
      </c>
      <c r="AY18" s="7">
        <v>0</v>
      </c>
      <c r="AZ18" s="7">
        <v>6.04311E-3</v>
      </c>
      <c r="BA18" s="7">
        <v>0</v>
      </c>
      <c r="BB18" s="7">
        <v>0</v>
      </c>
      <c r="BC18" s="7">
        <v>0</v>
      </c>
      <c r="BD18" s="7">
        <v>0.3192972</v>
      </c>
      <c r="BE18" s="7">
        <v>1.5488109999999999E-2</v>
      </c>
      <c r="BF18" s="7">
        <v>0.47946934000000002</v>
      </c>
    </row>
    <row r="19" spans="1:58" ht="15.75" x14ac:dyDescent="0.25">
      <c r="A19" s="1">
        <v>2021</v>
      </c>
      <c r="B19" s="1">
        <v>0.31487611999999998</v>
      </c>
      <c r="C19" s="1">
        <v>9.0191770000000004E-2</v>
      </c>
      <c r="D19" s="1">
        <v>1.71679E-2</v>
      </c>
      <c r="E19" s="1">
        <v>0</v>
      </c>
      <c r="F19" s="1">
        <v>0</v>
      </c>
      <c r="G19" s="1">
        <v>1.8773930000000001E-2</v>
      </c>
      <c r="H19" s="1">
        <v>5.535549E-2</v>
      </c>
      <c r="I19" s="1">
        <v>1.667298E-2</v>
      </c>
      <c r="J19" s="1">
        <v>0.48696182999999998</v>
      </c>
      <c r="K19" s="7"/>
      <c r="L19" s="7"/>
      <c r="M19" s="1">
        <v>2021</v>
      </c>
      <c r="N19" s="1">
        <v>0.18685252999999999</v>
      </c>
      <c r="O19" s="7">
        <v>5.5897420000000003E-2</v>
      </c>
      <c r="P19" s="7">
        <v>0</v>
      </c>
      <c r="Q19" s="7">
        <v>1.376256E-2</v>
      </c>
      <c r="R19" s="7">
        <v>2.3609640000000001E-2</v>
      </c>
      <c r="S19" s="7">
        <v>0</v>
      </c>
      <c r="T19" s="7">
        <v>0.13213920000000001</v>
      </c>
      <c r="U19" s="7">
        <v>0</v>
      </c>
      <c r="V19" s="7">
        <v>0.58773863999999998</v>
      </c>
      <c r="W19" s="7"/>
      <c r="X19" s="7"/>
      <c r="Y19" s="1">
        <v>2021</v>
      </c>
      <c r="Z19" s="1">
        <v>0.43963182000000001</v>
      </c>
      <c r="AA19" s="7">
        <v>0</v>
      </c>
      <c r="AB19" s="7">
        <v>1.851013E-2</v>
      </c>
      <c r="AC19" s="7">
        <v>1.6150769999999998E-2</v>
      </c>
      <c r="AD19" s="7">
        <v>0</v>
      </c>
      <c r="AE19" s="7">
        <v>1.938863E-2</v>
      </c>
      <c r="AF19" s="7">
        <v>0.18376233</v>
      </c>
      <c r="AG19" s="7">
        <v>0</v>
      </c>
      <c r="AH19" s="7">
        <v>0.32255633</v>
      </c>
      <c r="AI19" s="7"/>
      <c r="AJ19" s="7"/>
      <c r="AK19" s="1">
        <v>2021</v>
      </c>
      <c r="AL19" s="1">
        <v>0.30054681</v>
      </c>
      <c r="AM19" s="7">
        <v>5.7831390000000003E-2</v>
      </c>
      <c r="AN19" s="7">
        <v>5.6990399999999998E-3</v>
      </c>
      <c r="AO19" s="7">
        <v>0</v>
      </c>
      <c r="AP19" s="7">
        <v>0</v>
      </c>
      <c r="AQ19" s="7">
        <v>0</v>
      </c>
      <c r="AR19" s="7">
        <v>0.11640483</v>
      </c>
      <c r="AS19" s="7">
        <v>0</v>
      </c>
      <c r="AT19" s="7">
        <v>0.51951793999999996</v>
      </c>
      <c r="AU19" s="7"/>
      <c r="AV19" s="7"/>
      <c r="AW19" s="1">
        <v>2021</v>
      </c>
      <c r="AX19" s="1">
        <v>0.15259787</v>
      </c>
      <c r="AY19" s="7">
        <v>0</v>
      </c>
      <c r="AZ19" s="7">
        <v>2.2273319999999999E-2</v>
      </c>
      <c r="BA19" s="7">
        <v>0</v>
      </c>
      <c r="BB19" s="7">
        <v>0</v>
      </c>
      <c r="BC19" s="7">
        <v>1.583273E-2</v>
      </c>
      <c r="BD19" s="7">
        <v>0.29543114999999998</v>
      </c>
      <c r="BE19" s="7">
        <v>0</v>
      </c>
      <c r="BF19" s="7">
        <v>0.51386491999999995</v>
      </c>
    </row>
    <row r="20" spans="1:58" ht="15.75" x14ac:dyDescent="0.25">
      <c r="A20" s="1">
        <v>2022</v>
      </c>
      <c r="B20" s="1">
        <v>0.28219935000000002</v>
      </c>
      <c r="C20" s="1">
        <v>3.9161010000000003E-2</v>
      </c>
      <c r="D20" s="1">
        <v>5.4159230000000003E-2</v>
      </c>
      <c r="E20" s="1">
        <v>0</v>
      </c>
      <c r="F20" s="1">
        <v>0</v>
      </c>
      <c r="G20" s="1">
        <v>0</v>
      </c>
      <c r="H20" s="1">
        <v>0.10197154999999999</v>
      </c>
      <c r="I20" s="1">
        <v>2.5476220000000001E-2</v>
      </c>
      <c r="J20" s="1">
        <v>0.49703262999999998</v>
      </c>
      <c r="K20" s="7"/>
      <c r="L20" s="7"/>
      <c r="M20" s="1">
        <v>2022</v>
      </c>
      <c r="N20" s="1">
        <v>0.21115489000000001</v>
      </c>
      <c r="O20" s="7">
        <v>5.7576599999999999E-2</v>
      </c>
      <c r="P20" s="7">
        <v>1.6137660000000002E-2</v>
      </c>
      <c r="Q20" s="7">
        <v>0</v>
      </c>
      <c r="R20" s="7">
        <v>2.5565190000000002E-2</v>
      </c>
      <c r="S20" s="7">
        <v>0</v>
      </c>
      <c r="T20" s="7">
        <v>0.14515416</v>
      </c>
      <c r="U20" s="7">
        <v>0</v>
      </c>
      <c r="V20" s="7">
        <v>0.54441150999999999</v>
      </c>
      <c r="W20" s="7"/>
      <c r="X20" s="7"/>
      <c r="Y20" s="1">
        <v>2022</v>
      </c>
      <c r="Z20" s="1">
        <v>0.39857842999999998</v>
      </c>
      <c r="AA20" s="7">
        <v>1.795397E-2</v>
      </c>
      <c r="AB20" s="7">
        <v>3.6205550000000003E-2</v>
      </c>
      <c r="AC20" s="7">
        <v>0</v>
      </c>
      <c r="AD20" s="7">
        <v>0</v>
      </c>
      <c r="AE20" s="7">
        <v>0</v>
      </c>
      <c r="AF20" s="7">
        <v>0.14986767000000001</v>
      </c>
      <c r="AG20" s="7">
        <v>0</v>
      </c>
      <c r="AH20" s="7">
        <v>0.39739437999999999</v>
      </c>
      <c r="AI20" s="7"/>
      <c r="AJ20" s="7"/>
      <c r="AK20" s="1">
        <v>2022</v>
      </c>
      <c r="AL20" s="1">
        <v>0.16381216000000001</v>
      </c>
      <c r="AM20" s="7">
        <v>7.0237900000000002E-3</v>
      </c>
      <c r="AN20" s="7">
        <v>9.7287719999999994E-2</v>
      </c>
      <c r="AO20" s="7">
        <v>0</v>
      </c>
      <c r="AP20" s="7">
        <v>0</v>
      </c>
      <c r="AQ20" s="7">
        <v>0</v>
      </c>
      <c r="AR20" s="7">
        <v>0.14489961000000001</v>
      </c>
      <c r="AS20" s="7">
        <v>3.5922049999999997E-2</v>
      </c>
      <c r="AT20" s="7">
        <v>0.55105468000000002</v>
      </c>
      <c r="AU20" s="7"/>
      <c r="AV20" s="7"/>
      <c r="AW20" s="1">
        <v>2022</v>
      </c>
      <c r="AX20" s="1">
        <v>0.21644880999999999</v>
      </c>
      <c r="AY20" s="7">
        <v>9.0384200000000001E-3</v>
      </c>
      <c r="AZ20" s="7">
        <v>2.0148700000000002E-3</v>
      </c>
      <c r="BA20" s="7">
        <v>6.9017999999999998E-4</v>
      </c>
      <c r="BB20" s="7">
        <v>0</v>
      </c>
      <c r="BC20" s="7">
        <v>0</v>
      </c>
      <c r="BD20" s="7">
        <v>0.20188591</v>
      </c>
      <c r="BE20" s="7">
        <v>0</v>
      </c>
      <c r="BF20" s="7">
        <v>0.56992180000000003</v>
      </c>
    </row>
    <row r="21" spans="1:58" ht="15.75" x14ac:dyDescent="0.25">
      <c r="A21" s="1">
        <v>2023</v>
      </c>
      <c r="B21" s="1">
        <v>0.38527135000000001</v>
      </c>
      <c r="C21" s="1">
        <v>3.4408859999999999E-2</v>
      </c>
      <c r="D21" s="1">
        <v>2.001238E-2</v>
      </c>
      <c r="E21" s="1">
        <v>0</v>
      </c>
      <c r="F21" s="1">
        <v>0</v>
      </c>
      <c r="G21" s="1">
        <v>0</v>
      </c>
      <c r="H21" s="1">
        <v>5.2915690000000001E-2</v>
      </c>
      <c r="I21" s="1">
        <v>0</v>
      </c>
      <c r="J21" s="1">
        <v>0.50739171999999999</v>
      </c>
      <c r="K21" s="7"/>
      <c r="L21" s="7"/>
      <c r="M21" s="1">
        <v>2023</v>
      </c>
      <c r="N21" s="1">
        <v>0.25433445999999998</v>
      </c>
      <c r="O21" s="7">
        <v>3.4544930000000001E-2</v>
      </c>
      <c r="P21" s="7">
        <v>4.9459040000000003E-2</v>
      </c>
      <c r="Q21" s="7">
        <v>2.0113510000000001E-2</v>
      </c>
      <c r="R21" s="7"/>
      <c r="S21" s="7">
        <v>0</v>
      </c>
      <c r="T21" s="7">
        <v>0.14385797</v>
      </c>
      <c r="U21" s="7">
        <v>1.502007E-2</v>
      </c>
      <c r="V21" s="7">
        <v>0.48267001999999998</v>
      </c>
      <c r="W21" s="7"/>
      <c r="X21" s="7"/>
      <c r="Y21" s="1">
        <v>2023</v>
      </c>
      <c r="Z21" s="1">
        <v>0.59325971</v>
      </c>
      <c r="AA21" s="7">
        <v>1.7738380000000002E-2</v>
      </c>
      <c r="AB21" s="7">
        <v>1.9307729999999999E-2</v>
      </c>
      <c r="AC21" s="7">
        <v>0</v>
      </c>
      <c r="AD21" s="7">
        <v>0</v>
      </c>
      <c r="AE21" s="7">
        <v>2.312587E-2</v>
      </c>
      <c r="AF21" s="7">
        <v>5.7784290000000002E-2</v>
      </c>
      <c r="AG21" s="7">
        <v>0</v>
      </c>
      <c r="AH21" s="7">
        <v>0.28878403000000002</v>
      </c>
      <c r="AI21" s="7"/>
      <c r="AJ21" s="7"/>
      <c r="AK21" s="1">
        <v>2023</v>
      </c>
      <c r="AL21" s="1">
        <v>0.13204979</v>
      </c>
      <c r="AM21" s="7">
        <v>1.292512E-2</v>
      </c>
      <c r="AN21" s="7">
        <v>4.391689E-2</v>
      </c>
      <c r="AO21" s="7">
        <v>0</v>
      </c>
      <c r="AP21" s="7">
        <v>0</v>
      </c>
      <c r="AQ21" s="7">
        <v>0</v>
      </c>
      <c r="AR21" s="7">
        <v>0.23121050000000001</v>
      </c>
      <c r="AS21" s="7">
        <v>3.5835600000000002E-2</v>
      </c>
      <c r="AT21" s="7">
        <v>0.54406209999999999</v>
      </c>
      <c r="AU21" s="7"/>
      <c r="AV21" s="7"/>
      <c r="AW21" s="1">
        <v>2023</v>
      </c>
      <c r="AX21" s="1">
        <v>0.25863729000000002</v>
      </c>
      <c r="AY21" s="7">
        <v>6.9528899999999998E-3</v>
      </c>
      <c r="AZ21" s="7">
        <v>0</v>
      </c>
      <c r="BA21" s="7">
        <v>0</v>
      </c>
      <c r="BB21" s="7">
        <v>0</v>
      </c>
      <c r="BC21" s="7">
        <v>0</v>
      </c>
      <c r="BD21" s="7">
        <v>0.14367331999999999</v>
      </c>
      <c r="BE21" s="7">
        <v>0</v>
      </c>
      <c r="BF21" s="7">
        <v>0.59073651000000005</v>
      </c>
    </row>
    <row r="22" spans="1:58" ht="15.75" x14ac:dyDescent="0.25">
      <c r="A22" s="1">
        <v>2024</v>
      </c>
      <c r="B22" s="1">
        <v>0.43163905000000002</v>
      </c>
      <c r="C22" s="1">
        <v>9.5095180000000001E-2</v>
      </c>
      <c r="D22" s="1">
        <v>6.0932699999999999E-2</v>
      </c>
      <c r="E22" s="1">
        <v>0</v>
      </c>
      <c r="F22" s="1">
        <v>0</v>
      </c>
      <c r="G22" s="1">
        <v>0</v>
      </c>
      <c r="H22" s="1">
        <v>4.156141E-2</v>
      </c>
      <c r="I22" s="1">
        <v>0</v>
      </c>
      <c r="J22" s="1">
        <v>0.37077166</v>
      </c>
      <c r="K22" s="7"/>
      <c r="L22" s="7"/>
      <c r="M22" s="1">
        <v>2024</v>
      </c>
      <c r="N22" s="1">
        <v>0.44799871000000002</v>
      </c>
      <c r="O22" s="7">
        <v>6.6717250000000006E-2</v>
      </c>
      <c r="P22" s="7">
        <v>8.8335199999999992E-3</v>
      </c>
      <c r="Q22" s="7">
        <v>0</v>
      </c>
      <c r="R22" s="7">
        <v>0</v>
      </c>
      <c r="S22" s="7">
        <v>0</v>
      </c>
      <c r="T22" s="7">
        <v>4.7244750000000002E-2</v>
      </c>
      <c r="U22" s="7">
        <v>0</v>
      </c>
      <c r="V22" s="7">
        <v>0.42920575999999999</v>
      </c>
      <c r="W22" s="7"/>
      <c r="X22" s="7"/>
      <c r="Y22" s="1">
        <v>2024</v>
      </c>
      <c r="Z22" s="1">
        <v>0.60450307000000003</v>
      </c>
      <c r="AA22" s="7">
        <v>1.412011E-2</v>
      </c>
      <c r="AB22" s="7">
        <v>2.694301E-2</v>
      </c>
      <c r="AC22" s="7">
        <v>0</v>
      </c>
      <c r="AD22" s="7">
        <v>0</v>
      </c>
      <c r="AE22" s="7">
        <v>0</v>
      </c>
      <c r="AF22" s="7">
        <v>3.3964880000000003E-2</v>
      </c>
      <c r="AG22" s="7">
        <v>0</v>
      </c>
      <c r="AH22" s="7">
        <v>0.32046893999999998</v>
      </c>
      <c r="AI22" s="7"/>
      <c r="AJ22" s="7"/>
      <c r="AK22" s="1">
        <v>2024</v>
      </c>
      <c r="AL22" s="1">
        <v>0.20633003999999999</v>
      </c>
      <c r="AM22" s="7">
        <v>1.0342519999999999E-2</v>
      </c>
      <c r="AN22" s="7">
        <v>6.5953150000000002E-2</v>
      </c>
      <c r="AO22" s="7">
        <v>0</v>
      </c>
      <c r="AP22" s="7">
        <v>0</v>
      </c>
      <c r="AQ22" s="7">
        <v>0</v>
      </c>
      <c r="AR22" s="7">
        <v>0.22999351000000001</v>
      </c>
      <c r="AS22" s="7">
        <v>0</v>
      </c>
      <c r="AT22" s="7">
        <v>0.48738077000000002</v>
      </c>
      <c r="AU22" s="7"/>
      <c r="AV22" s="7"/>
      <c r="AW22" s="1">
        <v>2024</v>
      </c>
      <c r="AX22" s="1">
        <v>0.25316902000000002</v>
      </c>
      <c r="AY22" s="7">
        <v>0</v>
      </c>
      <c r="AZ22" s="7">
        <v>2.8172579999999999E-2</v>
      </c>
      <c r="BA22" s="7">
        <v>0</v>
      </c>
      <c r="BB22" s="7">
        <v>0</v>
      </c>
      <c r="BC22" s="7">
        <v>0</v>
      </c>
      <c r="BD22" s="7">
        <v>0.11320667</v>
      </c>
      <c r="BE22" s="7">
        <v>1.003063E-2</v>
      </c>
      <c r="BF22" s="7">
        <v>0.59542110000000004</v>
      </c>
    </row>
    <row r="23" spans="1:58" ht="15.75" x14ac:dyDescent="0.25">
      <c r="A23" s="1">
        <v>2025</v>
      </c>
      <c r="B23" s="1">
        <v>0.35643160000000002</v>
      </c>
      <c r="C23" s="1">
        <v>8.9023179999999993E-2</v>
      </c>
      <c r="D23" s="1">
        <v>0</v>
      </c>
      <c r="E23" s="1">
        <v>0</v>
      </c>
      <c r="F23" s="1">
        <v>0</v>
      </c>
      <c r="G23" s="1">
        <v>0</v>
      </c>
      <c r="H23" s="1">
        <v>5.7935069999999998E-2</v>
      </c>
      <c r="I23" s="1">
        <v>1.7328039999999999E-2</v>
      </c>
      <c r="J23" s="1">
        <v>0.47928210999999998</v>
      </c>
      <c r="K23" s="7"/>
      <c r="L23" s="7"/>
      <c r="M23" s="1">
        <v>2025</v>
      </c>
      <c r="N23" s="1">
        <v>0.32414444999999997</v>
      </c>
      <c r="O23" s="7">
        <v>5.3205790000000003E-2</v>
      </c>
      <c r="P23" s="7">
        <v>2.7014050000000001E-2</v>
      </c>
      <c r="Q23" s="7">
        <v>0</v>
      </c>
      <c r="R23" s="7">
        <v>0</v>
      </c>
      <c r="S23" s="7">
        <v>0</v>
      </c>
      <c r="T23" s="7">
        <v>0.12328204</v>
      </c>
      <c r="U23" s="7">
        <v>0</v>
      </c>
      <c r="V23" s="7">
        <v>0.47235367</v>
      </c>
      <c r="W23" s="7"/>
      <c r="X23" s="7"/>
      <c r="Y23" s="1">
        <v>2025</v>
      </c>
      <c r="Z23" s="1">
        <v>0.46849795999999999</v>
      </c>
      <c r="AA23" s="7">
        <v>5.8141579999999998E-2</v>
      </c>
      <c r="AB23" s="7">
        <v>2.9322730000000002E-2</v>
      </c>
      <c r="AC23" s="7">
        <v>3.4902589999999997E-2</v>
      </c>
      <c r="AD23" s="7">
        <v>0</v>
      </c>
      <c r="AE23" s="7">
        <v>0</v>
      </c>
      <c r="AF23" s="7">
        <v>4.6694230000000003E-2</v>
      </c>
      <c r="AG23" s="7">
        <v>0</v>
      </c>
      <c r="AH23" s="7">
        <v>0.36244092</v>
      </c>
      <c r="AI23" s="7"/>
      <c r="AJ23" s="7"/>
      <c r="AK23" s="1">
        <v>2025</v>
      </c>
      <c r="AL23" s="1">
        <v>0.24179327</v>
      </c>
      <c r="AM23" s="7">
        <v>5.0674839999999999E-2</v>
      </c>
      <c r="AN23" s="7">
        <v>8.8701150000000006E-2</v>
      </c>
      <c r="AO23" s="7">
        <v>0</v>
      </c>
      <c r="AP23" s="7">
        <v>0</v>
      </c>
      <c r="AQ23" s="7">
        <v>0</v>
      </c>
      <c r="AR23" s="7">
        <v>0.12887961000000001</v>
      </c>
      <c r="AS23" s="7">
        <v>0</v>
      </c>
      <c r="AT23" s="7">
        <v>0.48995113000000001</v>
      </c>
      <c r="AU23" s="7"/>
      <c r="AV23" s="7"/>
      <c r="AW23" s="1">
        <v>2025</v>
      </c>
      <c r="AX23" s="1">
        <v>0.28614358000000001</v>
      </c>
      <c r="AY23" s="7">
        <v>0</v>
      </c>
      <c r="AZ23" s="7">
        <v>2.7773260000000001E-2</v>
      </c>
      <c r="BA23" s="7">
        <v>0</v>
      </c>
      <c r="BB23" s="7">
        <v>0</v>
      </c>
      <c r="BC23" s="7">
        <v>0</v>
      </c>
      <c r="BD23" s="7">
        <v>0.11359174</v>
      </c>
      <c r="BE23" s="7">
        <v>1.7582670000000002E-2</v>
      </c>
      <c r="BF23" s="7">
        <v>0.55490874999999995</v>
      </c>
    </row>
    <row r="24" spans="1:58" ht="15.75" x14ac:dyDescent="0.25">
      <c r="A24" s="1" t="s">
        <v>17</v>
      </c>
      <c r="B24" s="1">
        <f>SUBTOTAL(101,Tabla1[Escolaridad])</f>
        <v>0.36790409095238102</v>
      </c>
      <c r="C24" s="1">
        <f>SUBTOTAL(101,Tabla1[Edad])</f>
        <v>6.6964640952380958E-2</v>
      </c>
      <c r="D24" s="1">
        <f>SUBTOTAL(101,Tabla1[Sexo])</f>
        <v>3.17435580952381E-2</v>
      </c>
      <c r="E24" s="1">
        <f>SUBTOTAL(101,Tabla1[Estado Conyugal])</f>
        <v>3.9664280952380953E-3</v>
      </c>
      <c r="F24" s="1">
        <f>SUBTOTAL(101,Tabla1[Sector Actividad Economica])</f>
        <v>1.6486609523809525E-3</v>
      </c>
      <c r="G24" s="1">
        <f>SUBTOTAL(101,Tabla1[Tamaño de Unidad Economica])</f>
        <v>1.6566600952380953E-2</v>
      </c>
      <c r="H24" s="1">
        <f>SUBTOTAL(101,Tabla1[Informalidad Laboral])</f>
        <v>5.8078848571428573E-2</v>
      </c>
      <c r="I24" s="1">
        <f>SUBTOTAL(101,Tabla1[Posicion por Ocupacion])</f>
        <v>9.6491014285714286E-3</v>
      </c>
      <c r="J24" s="1">
        <f>SUBTOTAL(101,Tabla1[Horas Trabajadas])</f>
        <v>0.44347807095238095</v>
      </c>
      <c r="K24" s="7"/>
      <c r="L24" s="7"/>
      <c r="M24" s="1" t="s">
        <v>17</v>
      </c>
      <c r="N24" s="1">
        <f>SUBTOTAL(101,Tabla2[Escolaridad])</f>
        <v>0.40679077000000013</v>
      </c>
      <c r="O24" s="1">
        <f>SUBTOTAL(101,Tabla2[Edad])</f>
        <v>5.2238481428571425E-2</v>
      </c>
      <c r="P24" s="1">
        <f>SUBTOTAL(101,Tabla2[Sexo])</f>
        <v>1.8899970000000002E-2</v>
      </c>
      <c r="Q24" s="1">
        <f>SUBTOTAL(101,Tabla2[Estado Conyugal])</f>
        <v>1.1821981904761907E-2</v>
      </c>
      <c r="R24" s="1">
        <f>SUBTOTAL(101,Tabla2[Sector Actividad Economica])</f>
        <v>4.1740965000000001E-3</v>
      </c>
      <c r="S24" s="1">
        <f>SUBTOTAL(101,Tabla2[Tamaño de Unidad Economica])</f>
        <v>4.7251247619047622E-3</v>
      </c>
      <c r="T24" s="1">
        <f>SUBTOTAL(101,Tabla2[Informalidad Laboral])</f>
        <v>0.10248153476190475</v>
      </c>
      <c r="U24" s="1">
        <f>SUBTOTAL(101,Tabla2[Posicion por Ocupacion])</f>
        <v>4.7820857142857149E-3</v>
      </c>
      <c r="V24" s="1">
        <f>SUBTOTAL(101,Tabla2[Horas Trabajadas])</f>
        <v>0.39428472047619045</v>
      </c>
      <c r="W24" s="7"/>
      <c r="X24" s="7"/>
      <c r="Y24" s="1" t="s">
        <v>17</v>
      </c>
      <c r="Z24" s="1">
        <f>SUBTOTAL(101,Tabla3[Escolaridad])</f>
        <v>0.51966940904761905</v>
      </c>
      <c r="AA24" s="1">
        <f>SUBTOTAL(101,Tabla3[Edad])</f>
        <v>3.9789760952380959E-2</v>
      </c>
      <c r="AB24" s="1">
        <f>SUBTOTAL(101,Tabla3[Sexo])</f>
        <v>3.7013238095238092E-2</v>
      </c>
      <c r="AC24" s="1">
        <f>SUBTOTAL(101,Tabla3[Estado Conyugal])</f>
        <v>1.3018912857142859E-2</v>
      </c>
      <c r="AD24" s="1">
        <f>SUBTOTAL(101,Tabla3[Sector Actividad Economica])</f>
        <v>2.0312680952380953E-3</v>
      </c>
      <c r="AE24" s="1">
        <f>SUBTOTAL(101,Tabla3[Tamaño de Unidad Economica])</f>
        <v>5.1366709523809522E-3</v>
      </c>
      <c r="AF24" s="1">
        <f>SUBTOTAL(101,Tabla3[Informalidad Laboral])</f>
        <v>6.5079747500000021E-2</v>
      </c>
      <c r="AG24" s="1">
        <f>SUBTOTAL(101,Tabla3[Posicion por Ocupacion])</f>
        <v>7.2898390476190478E-3</v>
      </c>
      <c r="AH24" s="1">
        <f>SUBTOTAL(101,Tabla3[Horas Trabajadas])</f>
        <v>0.31407019190476193</v>
      </c>
      <c r="AI24" s="7"/>
      <c r="AJ24" s="7"/>
      <c r="AK24" s="1" t="s">
        <v>17</v>
      </c>
      <c r="AL24" s="1">
        <f>SUBTOTAL(101,Tabla4[Escolaridad])</f>
        <v>0.30051159476190475</v>
      </c>
      <c r="AM24" s="1">
        <f>SUBTOTAL(101,Tabla4[Edad])</f>
        <v>6.9811998571428571E-2</v>
      </c>
      <c r="AN24" s="1">
        <f>SUBTOTAL(101,Tabla4[Sexo])</f>
        <v>4.3893388571428563E-2</v>
      </c>
      <c r="AO24" s="1">
        <f>SUBTOTAL(101,Tabla4[Estado Conyugal])</f>
        <v>7.2094357142857149E-3</v>
      </c>
      <c r="AP24" s="1">
        <f>SUBTOTAL(101,Tabla4[Sector Actividad Economica])</f>
        <v>3.8272895238095233E-3</v>
      </c>
      <c r="AQ24" s="1">
        <f>SUBTOTAL(101,Tabla4[Tamaño de Unidad Economica])</f>
        <v>9.5079366666666679E-3</v>
      </c>
      <c r="AR24" s="1">
        <f>SUBTOTAL(101,Tabla4[Informalidad Laboral])</f>
        <v>9.0678957142857147E-2</v>
      </c>
      <c r="AS24" s="1">
        <f>SUBTOTAL(101,Tabla4[Posicion por Ocupacion])</f>
        <v>9.7927271428571404E-3</v>
      </c>
      <c r="AT24" s="1">
        <f>SUBTOTAL(101,Tabla4[Horas Trabajadas])</f>
        <v>0.46476667142857137</v>
      </c>
      <c r="AU24" s="7"/>
      <c r="AV24" s="7"/>
      <c r="AW24" s="1" t="s">
        <v>17</v>
      </c>
      <c r="AX24" s="1">
        <f>SUBTOTAL(101,Tabla5[Escolaridad])</f>
        <v>0.38529167000000003</v>
      </c>
      <c r="AY24" s="1">
        <f>SUBTOTAL(101,Tabla5[Edad])</f>
        <v>4.6981763809523819E-2</v>
      </c>
      <c r="AZ24" s="1">
        <f>SUBTOTAL(101,Tabla5[Sexo])</f>
        <v>1.3263640952380952E-2</v>
      </c>
      <c r="BA24" s="1">
        <f>SUBTOTAL(101,Tabla5[Estado Conyugal])</f>
        <v>1.0503195238095238E-3</v>
      </c>
      <c r="BB24" s="1">
        <f>SUBTOTAL(101,Tabla5[Sector Actividad Economica])</f>
        <v>6.2085614285714279E-3</v>
      </c>
      <c r="BC24" s="1">
        <f>SUBTOTAL(101,Tabla5[Tamaño de Unidad Economica])</f>
        <v>2.6812142857142855E-3</v>
      </c>
      <c r="BD24" s="1">
        <f>SUBTOTAL(101,Tabla5[Informalidad Laboral])</f>
        <v>0.11040699095238095</v>
      </c>
      <c r="BE24" s="1">
        <f>SUBTOTAL(101,Tabla5[Posicion por Ocupacion])</f>
        <v>3.4049133333333335E-3</v>
      </c>
      <c r="BF24" s="1">
        <f>SUBTOTAL(101,Tabla5[Horas Trabajadas])</f>
        <v>0.43071092380952369</v>
      </c>
    </row>
    <row r="25" spans="1:58" x14ac:dyDescent="0.25">
      <c r="AX25" s="3"/>
    </row>
  </sheetData>
  <mergeCells count="5">
    <mergeCell ref="A1:J1"/>
    <mergeCell ref="M1:V1"/>
    <mergeCell ref="Y1:AH1"/>
    <mergeCell ref="AK1:AT1"/>
    <mergeCell ref="AW1:BF1"/>
  </mergeCells>
  <conditionalFormatting sqref="B3:J23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{374DE263-5804-48D9-B324-C279C2116348}</x14:id>
        </ext>
      </extLst>
    </cfRule>
  </conditionalFormatting>
  <conditionalFormatting sqref="N3:V23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{41BE7239-EF6E-4B97-80F7-DFEAF38F0ACC}</x14:id>
        </ext>
      </extLst>
    </cfRule>
  </conditionalFormatting>
  <conditionalFormatting sqref="Z3:AH23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{9DCA26FD-A5E3-4970-8AAB-326C155757B9}</x14:id>
        </ext>
      </extLst>
    </cfRule>
  </conditionalFormatting>
  <conditionalFormatting sqref="AL3:AT23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{4AB65713-4949-4446-B823-2789A47D5C38}</x14:id>
        </ext>
      </extLst>
    </cfRule>
  </conditionalFormatting>
  <conditionalFormatting sqref="AX3:BF23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{413B238A-F6E4-4EDD-8286-64FAD0095314}</x14:id>
        </ext>
      </extLst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4DE263-5804-48D9-B324-C279C21163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B3:J23</xm:sqref>
        </x14:conditionalFormatting>
        <x14:conditionalFormatting xmlns:xm="http://schemas.microsoft.com/office/excel/2006/main">
          <x14:cfRule type="dataBar" id="{41BE7239-EF6E-4B97-80F7-DFEAF38F0A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N3:V23</xm:sqref>
        </x14:conditionalFormatting>
        <x14:conditionalFormatting xmlns:xm="http://schemas.microsoft.com/office/excel/2006/main">
          <x14:cfRule type="dataBar" id="{9DCA26FD-A5E3-4970-8AAB-326C155757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Z3:AH23</xm:sqref>
        </x14:conditionalFormatting>
        <x14:conditionalFormatting xmlns:xm="http://schemas.microsoft.com/office/excel/2006/main">
          <x14:cfRule type="dataBar" id="{4AB65713-4949-4446-B823-2789A47D5C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AL3:AT23</xm:sqref>
        </x14:conditionalFormatting>
        <x14:conditionalFormatting xmlns:xm="http://schemas.microsoft.com/office/excel/2006/main">
          <x14:cfRule type="dataBar" id="{413B238A-F6E4-4EDD-8286-64FAD00953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AX3:BF23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B412-20C1-43C5-AB29-4F41DD1F404F}">
  <dimension ref="A1:K24"/>
  <sheetViews>
    <sheetView zoomScale="68" zoomScaleNormal="80" workbookViewId="0">
      <selection activeCell="L24" sqref="L24"/>
    </sheetView>
  </sheetViews>
  <sheetFormatPr baseColWidth="10" defaultRowHeight="15" x14ac:dyDescent="0.25"/>
  <cols>
    <col min="2" max="11" width="17.7109375" customWidth="1"/>
  </cols>
  <sheetData>
    <row r="1" spans="1:11" ht="15.75" x14ac:dyDescent="0.25">
      <c r="A1" s="1"/>
      <c r="B1" s="10" t="s">
        <v>1</v>
      </c>
      <c r="C1" s="10"/>
      <c r="D1" s="10" t="s">
        <v>2</v>
      </c>
      <c r="E1" s="10"/>
      <c r="F1" s="10" t="s">
        <v>3</v>
      </c>
      <c r="G1" s="10"/>
      <c r="H1" s="10" t="s">
        <v>4</v>
      </c>
      <c r="I1" s="10"/>
      <c r="J1" s="10" t="s">
        <v>5</v>
      </c>
      <c r="K1" s="10"/>
    </row>
    <row r="2" spans="1:11" ht="15.75" x14ac:dyDescent="0.25">
      <c r="A2" s="1" t="s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</row>
    <row r="3" spans="1:11" ht="15.75" x14ac:dyDescent="0.25">
      <c r="A3" s="1">
        <v>2005</v>
      </c>
      <c r="B3" s="1">
        <v>16.416575001154701</v>
      </c>
      <c r="C3" s="1">
        <v>16.3341174195644</v>
      </c>
      <c r="D3" s="1">
        <v>14.3335234234191</v>
      </c>
      <c r="E3" s="1">
        <v>14.0154956403186</v>
      </c>
      <c r="F3" s="1">
        <v>15.1632205123407</v>
      </c>
      <c r="G3" s="1">
        <v>16.002030249831201</v>
      </c>
      <c r="H3" s="1">
        <v>15.901839275681199</v>
      </c>
      <c r="I3" s="1">
        <v>16.060563722908501</v>
      </c>
      <c r="J3" s="1">
        <v>11.064900648606599</v>
      </c>
      <c r="K3" s="1">
        <v>11.357180038372899</v>
      </c>
    </row>
    <row r="4" spans="1:11" ht="15.75" x14ac:dyDescent="0.25">
      <c r="A4" s="1">
        <v>2006</v>
      </c>
      <c r="B4" s="1">
        <v>17.607936813689498</v>
      </c>
      <c r="C4" s="1">
        <v>18.394472650932499</v>
      </c>
      <c r="D4" s="1">
        <v>15.5614764411258</v>
      </c>
      <c r="E4" s="1">
        <v>15.490431187733201</v>
      </c>
      <c r="F4" s="1">
        <v>15.5614764411258</v>
      </c>
      <c r="G4" s="1">
        <v>15.490431187733201</v>
      </c>
      <c r="H4" s="1">
        <v>16.515407011681798</v>
      </c>
      <c r="I4" s="1">
        <v>17.927117452288599</v>
      </c>
      <c r="J4" s="1">
        <v>11.9023586336451</v>
      </c>
      <c r="K4" s="1">
        <v>12.8715457727381</v>
      </c>
    </row>
    <row r="5" spans="1:11" ht="15.75" x14ac:dyDescent="0.25">
      <c r="A5" s="1">
        <v>2007</v>
      </c>
      <c r="B5" s="1">
        <v>18.564177407160098</v>
      </c>
      <c r="C5" s="1">
        <v>19.720706200651598</v>
      </c>
      <c r="D5" s="1">
        <v>15.7648606057598</v>
      </c>
      <c r="E5" s="1">
        <v>15.987434687457799</v>
      </c>
      <c r="F5" s="1">
        <v>15.7648606057598</v>
      </c>
      <c r="G5" s="1">
        <v>15.987434687457799</v>
      </c>
      <c r="H5" s="1">
        <v>17.387719536505902</v>
      </c>
      <c r="I5" s="1">
        <v>18.622319819707499</v>
      </c>
      <c r="J5" s="1">
        <v>12.8516203731477</v>
      </c>
      <c r="K5" s="1">
        <v>13.2794121937771</v>
      </c>
    </row>
    <row r="6" spans="1:11" ht="15.75" x14ac:dyDescent="0.25">
      <c r="A6" s="1">
        <v>2008</v>
      </c>
      <c r="B6" s="1">
        <v>18.9631438036728</v>
      </c>
      <c r="C6" s="1">
        <v>19.1577200718645</v>
      </c>
      <c r="D6" s="1">
        <v>15.6504292800592</v>
      </c>
      <c r="E6" s="1">
        <v>16.288345231473802</v>
      </c>
      <c r="F6" s="1">
        <v>17.019367166762699</v>
      </c>
      <c r="G6" s="1">
        <v>18.765276736380201</v>
      </c>
      <c r="H6" s="1">
        <v>18.8054258917943</v>
      </c>
      <c r="I6" s="1">
        <v>19.3175596267297</v>
      </c>
      <c r="J6" s="1">
        <v>12.546587239855</v>
      </c>
      <c r="K6" s="1">
        <v>12.360343141050601</v>
      </c>
    </row>
    <row r="7" spans="1:11" ht="15.75" x14ac:dyDescent="0.25">
      <c r="A7" s="1">
        <v>2009</v>
      </c>
      <c r="B7" s="1">
        <v>18.797988791542402</v>
      </c>
      <c r="C7" s="1">
        <v>19.015755495729898</v>
      </c>
      <c r="D7" s="1">
        <v>16.990782472270599</v>
      </c>
      <c r="E7" s="1">
        <v>17.2312890865777</v>
      </c>
      <c r="F7" s="1">
        <v>16.720530047712298</v>
      </c>
      <c r="G7" s="1">
        <v>18.3150227830948</v>
      </c>
      <c r="H7" s="1">
        <v>18.124794174543901</v>
      </c>
      <c r="I7" s="1">
        <v>18.815859613238299</v>
      </c>
      <c r="J7" s="1">
        <v>12.698016008631599</v>
      </c>
      <c r="K7" s="1">
        <v>13.0583448153332</v>
      </c>
    </row>
    <row r="8" spans="1:11" ht="15.75" x14ac:dyDescent="0.25">
      <c r="A8" s="1">
        <v>2010</v>
      </c>
      <c r="B8" s="1">
        <v>19.369095613824999</v>
      </c>
      <c r="C8" s="1">
        <v>20.277029574531401</v>
      </c>
      <c r="D8" s="1">
        <v>16.1747846313236</v>
      </c>
      <c r="E8" s="1">
        <v>16.789207869241402</v>
      </c>
      <c r="F8" s="1">
        <v>17.003426956772699</v>
      </c>
      <c r="G8" s="1">
        <v>17.515539421324501</v>
      </c>
      <c r="H8" s="1">
        <v>17.5292757408635</v>
      </c>
      <c r="I8" s="1">
        <v>17.883533983391501</v>
      </c>
      <c r="J8" s="1">
        <v>14.009694852984</v>
      </c>
      <c r="K8" s="1">
        <v>14.296342393095699</v>
      </c>
    </row>
    <row r="9" spans="1:11" ht="15.75" x14ac:dyDescent="0.25">
      <c r="A9" s="1">
        <v>2011</v>
      </c>
      <c r="B9" s="6">
        <v>17.7941406916717</v>
      </c>
      <c r="C9" s="1">
        <v>19.163274408891802</v>
      </c>
      <c r="D9" s="1">
        <v>14.773109375645401</v>
      </c>
      <c r="E9" s="1">
        <v>16.044671336520299</v>
      </c>
      <c r="F9" s="1">
        <v>16.661357289526499</v>
      </c>
      <c r="G9" s="1">
        <v>17.3708528661599</v>
      </c>
      <c r="H9" s="1">
        <v>17.273203393033501</v>
      </c>
      <c r="I9" s="1">
        <v>17.515321008575299</v>
      </c>
      <c r="J9" s="1">
        <v>14.0188957352107</v>
      </c>
      <c r="K9" s="1">
        <v>14.2614972861151</v>
      </c>
    </row>
    <row r="10" spans="1:11" ht="15.75" x14ac:dyDescent="0.25">
      <c r="A10" s="1">
        <v>2012</v>
      </c>
      <c r="B10" s="1">
        <v>18.354818577377099</v>
      </c>
      <c r="C10" s="1">
        <v>18.685081359715099</v>
      </c>
      <c r="D10" s="1">
        <v>16.324141790494402</v>
      </c>
      <c r="E10" s="1">
        <v>17.163757810576701</v>
      </c>
      <c r="F10" s="1">
        <v>18.651882655259399</v>
      </c>
      <c r="G10" s="1">
        <v>18.813132589264399</v>
      </c>
      <c r="H10" s="1">
        <v>17.706712610036998</v>
      </c>
      <c r="I10" s="1">
        <v>16.809107697018302</v>
      </c>
      <c r="J10" s="1">
        <v>13.1098094450329</v>
      </c>
      <c r="K10" s="1">
        <v>14.043454801413301</v>
      </c>
    </row>
    <row r="11" spans="1:11" ht="15.75" x14ac:dyDescent="0.25">
      <c r="A11" s="1">
        <v>2013</v>
      </c>
      <c r="B11" s="1">
        <v>18.928641978739702</v>
      </c>
      <c r="C11" s="1">
        <v>19.205685784284899</v>
      </c>
      <c r="D11" s="1">
        <v>17.5753658760975</v>
      </c>
      <c r="E11" s="1">
        <v>17.964723924085298</v>
      </c>
      <c r="F11" s="1">
        <v>18.493593987433702</v>
      </c>
      <c r="G11" s="1">
        <v>17.4196476650609</v>
      </c>
      <c r="H11" s="1">
        <v>17.210285684024001</v>
      </c>
      <c r="I11" s="1">
        <v>18.235628126500501</v>
      </c>
      <c r="J11" s="1">
        <v>14.7382056084979</v>
      </c>
      <c r="K11" s="1">
        <v>14.446045184976599</v>
      </c>
    </row>
    <row r="12" spans="1:11" ht="15.75" x14ac:dyDescent="0.25">
      <c r="A12" s="1">
        <v>2014</v>
      </c>
      <c r="B12" s="1">
        <v>17.788532119600202</v>
      </c>
      <c r="C12" s="1">
        <v>17.9198050552321</v>
      </c>
      <c r="D12" s="1">
        <v>16.396510089736701</v>
      </c>
      <c r="E12" s="1">
        <v>16.630582557687099</v>
      </c>
      <c r="F12" s="1">
        <v>17.358308481076101</v>
      </c>
      <c r="G12" s="1">
        <v>19.530133640545898</v>
      </c>
      <c r="H12" s="1">
        <v>14.938020185341401</v>
      </c>
      <c r="I12" s="1">
        <v>15.133954457655401</v>
      </c>
      <c r="J12" s="1">
        <v>13.726795311705899</v>
      </c>
      <c r="K12" s="1">
        <v>13.837939308046799</v>
      </c>
    </row>
    <row r="13" spans="1:11" ht="15.75" x14ac:dyDescent="0.25">
      <c r="A13" s="1">
        <v>2015</v>
      </c>
      <c r="B13" s="1">
        <v>18.245805195937699</v>
      </c>
      <c r="C13" s="1">
        <v>18.686364418362199</v>
      </c>
      <c r="D13" s="1">
        <v>17.489335187619201</v>
      </c>
      <c r="E13" s="1">
        <v>18.233316715457899</v>
      </c>
      <c r="F13" s="1">
        <v>20.081931879942498</v>
      </c>
      <c r="G13" s="1">
        <v>21.3298836155783</v>
      </c>
      <c r="H13" s="1">
        <v>16.374980081275101</v>
      </c>
      <c r="I13" s="1">
        <v>17.331765656280002</v>
      </c>
      <c r="J13" s="1">
        <v>14.3640137947816</v>
      </c>
      <c r="K13" s="1">
        <v>14.6251642904605</v>
      </c>
    </row>
    <row r="14" spans="1:11" ht="15.75" x14ac:dyDescent="0.25">
      <c r="A14" s="1">
        <v>2016</v>
      </c>
      <c r="B14" s="1">
        <v>19.124534522902</v>
      </c>
      <c r="C14" s="1">
        <v>18.387729087100698</v>
      </c>
      <c r="D14" s="1">
        <v>17.959966911910801</v>
      </c>
      <c r="E14" s="1">
        <v>18.4291859691558</v>
      </c>
      <c r="F14" s="1">
        <v>21.2943908845632</v>
      </c>
      <c r="G14" s="1">
        <v>22.614713925352198</v>
      </c>
      <c r="H14" s="1">
        <v>16.6302649807409</v>
      </c>
      <c r="I14" s="1">
        <v>16.829972798627999</v>
      </c>
      <c r="J14" s="1">
        <v>14.8959778974413</v>
      </c>
      <c r="K14" s="1">
        <v>15.4980686596301</v>
      </c>
    </row>
    <row r="15" spans="1:11" ht="15.75" x14ac:dyDescent="0.25">
      <c r="A15" s="1">
        <v>2017</v>
      </c>
      <c r="B15" s="1">
        <v>19.817825105095899</v>
      </c>
      <c r="C15" s="1">
        <v>19.297631024126101</v>
      </c>
      <c r="D15" s="1">
        <v>19.121177103566598</v>
      </c>
      <c r="E15" s="1">
        <v>20.245241715089101</v>
      </c>
      <c r="F15" s="1">
        <v>21.747217165607498</v>
      </c>
      <c r="G15" s="1">
        <v>21.964828934017099</v>
      </c>
      <c r="H15" s="1">
        <v>16.5252287878319</v>
      </c>
      <c r="I15" s="1">
        <v>17.677440966349899</v>
      </c>
      <c r="J15" s="1">
        <v>14.9355550198442</v>
      </c>
      <c r="K15" s="1">
        <v>15.395017638449801</v>
      </c>
    </row>
    <row r="16" spans="1:11" ht="15.75" x14ac:dyDescent="0.25">
      <c r="A16" s="1">
        <v>2018</v>
      </c>
      <c r="B16" s="1">
        <v>19.912656942684201</v>
      </c>
      <c r="C16" s="1">
        <v>19.7761424131496</v>
      </c>
      <c r="D16" s="1">
        <v>19.825379323760199</v>
      </c>
      <c r="E16" s="1">
        <v>20.2829244381767</v>
      </c>
      <c r="F16" s="1">
        <v>22.265810236017298</v>
      </c>
      <c r="G16" s="1">
        <v>23.104682408034499</v>
      </c>
      <c r="H16" s="1">
        <v>17.9104064471009</v>
      </c>
      <c r="I16" s="1">
        <v>18.333452472613899</v>
      </c>
      <c r="J16" s="1">
        <v>16.291445985727901</v>
      </c>
      <c r="K16" s="1">
        <v>16.799164479709901</v>
      </c>
    </row>
    <row r="17" spans="1:11" ht="15.75" x14ac:dyDescent="0.25">
      <c r="A17" s="1">
        <v>2019</v>
      </c>
      <c r="B17" s="1">
        <v>22.232017652834202</v>
      </c>
      <c r="C17" s="1">
        <v>22.800883668074601</v>
      </c>
      <c r="D17" s="1">
        <v>21.49511880703</v>
      </c>
      <c r="E17" s="1">
        <v>20.962300047087599</v>
      </c>
      <c r="F17" s="1">
        <v>21.435652685981299</v>
      </c>
      <c r="G17" s="1">
        <v>22.239841673211</v>
      </c>
      <c r="H17" s="1">
        <v>18.383536279630299</v>
      </c>
      <c r="I17" s="1">
        <v>20.297540546169401</v>
      </c>
      <c r="J17" s="1">
        <v>17.208311375149002</v>
      </c>
      <c r="K17" s="1">
        <v>17.422688703785301</v>
      </c>
    </row>
    <row r="18" spans="1:11" ht="15.75" x14ac:dyDescent="0.25">
      <c r="A18" s="1">
        <v>2020</v>
      </c>
      <c r="B18" s="1">
        <v>26.029725841864401</v>
      </c>
      <c r="C18" s="1">
        <v>25.470246157026899</v>
      </c>
      <c r="D18" s="1">
        <v>23.3924469024332</v>
      </c>
      <c r="E18" s="1">
        <v>23.814074568340299</v>
      </c>
      <c r="F18" s="1">
        <v>26.8314504083637</v>
      </c>
      <c r="G18" s="1">
        <v>30.186775306879099</v>
      </c>
      <c r="H18" s="1">
        <v>23.839018244791699</v>
      </c>
      <c r="I18" s="1">
        <v>24.020859887090602</v>
      </c>
      <c r="J18" s="1">
        <v>20.284611458123901</v>
      </c>
      <c r="K18" s="1">
        <v>19.891520815873701</v>
      </c>
    </row>
    <row r="19" spans="1:11" ht="15.75" x14ac:dyDescent="0.25">
      <c r="A19" s="1">
        <v>2021</v>
      </c>
      <c r="B19" s="1">
        <v>26.979304335707901</v>
      </c>
      <c r="C19" s="1">
        <v>27.5575008643908</v>
      </c>
      <c r="D19" s="1">
        <v>23.3834260006435</v>
      </c>
      <c r="E19" s="1">
        <v>23.7141551679542</v>
      </c>
      <c r="F19" s="1">
        <v>29.5177895042867</v>
      </c>
      <c r="G19" s="1">
        <v>30.8144187293125</v>
      </c>
      <c r="H19" s="1">
        <v>19.3820458313287</v>
      </c>
      <c r="I19" s="1">
        <v>20.591788532047701</v>
      </c>
      <c r="J19" s="1">
        <v>20.925756344545899</v>
      </c>
      <c r="K19" s="1">
        <v>21.335593923792999</v>
      </c>
    </row>
    <row r="20" spans="1:11" ht="15.75" x14ac:dyDescent="0.25">
      <c r="A20" s="1">
        <v>2022</v>
      </c>
      <c r="B20" s="1">
        <v>27.110690772120599</v>
      </c>
      <c r="C20" s="1">
        <v>27.173940768237401</v>
      </c>
      <c r="D20" s="1">
        <v>23.693920070970599</v>
      </c>
      <c r="E20" s="1">
        <v>24.7214095920456</v>
      </c>
      <c r="F20" s="1">
        <v>28.087728464266</v>
      </c>
      <c r="G20" s="1">
        <v>30.335729759251102</v>
      </c>
      <c r="H20" s="1">
        <v>20.561262315430699</v>
      </c>
      <c r="I20" s="1">
        <v>20.462492332892101</v>
      </c>
      <c r="J20" s="1">
        <v>21.757577415366001</v>
      </c>
      <c r="K20" s="1">
        <v>20.820617160625201</v>
      </c>
    </row>
    <row r="21" spans="1:11" ht="15.75" x14ac:dyDescent="0.25">
      <c r="A21" s="1">
        <v>2023</v>
      </c>
      <c r="B21" s="1">
        <v>32.543215416780903</v>
      </c>
      <c r="C21" s="1">
        <v>32.6508489949234</v>
      </c>
      <c r="D21" s="1">
        <v>26.468820386787701</v>
      </c>
      <c r="E21" s="1">
        <v>26.669272382244198</v>
      </c>
      <c r="F21" s="1">
        <v>31.368510857709602</v>
      </c>
      <c r="G21" s="1">
        <v>34.078075485726501</v>
      </c>
      <c r="H21" s="1">
        <v>23.3865177020086</v>
      </c>
      <c r="I21" s="1">
        <v>25.0157793627383</v>
      </c>
      <c r="J21" s="1">
        <v>22.086110588901601</v>
      </c>
      <c r="K21" s="1">
        <v>22.2252375355779</v>
      </c>
    </row>
    <row r="22" spans="1:11" ht="15.75" x14ac:dyDescent="0.25">
      <c r="A22" s="1">
        <v>2024</v>
      </c>
      <c r="B22" s="1">
        <v>33.014680497646701</v>
      </c>
      <c r="C22" s="1">
        <v>32.9023019736007</v>
      </c>
      <c r="D22" s="1">
        <v>28.985144346332099</v>
      </c>
      <c r="E22" s="1">
        <v>29.310870877432599</v>
      </c>
      <c r="F22" s="1">
        <v>38.604033533465397</v>
      </c>
      <c r="G22" s="1">
        <v>41.855619116636802</v>
      </c>
      <c r="H22" s="1">
        <v>27.663734249556001</v>
      </c>
      <c r="I22" s="1">
        <v>28.6044482835322</v>
      </c>
      <c r="J22" s="1">
        <v>23.5955933402082</v>
      </c>
      <c r="K22" s="1">
        <v>23.855971652527899</v>
      </c>
    </row>
    <row r="23" spans="1:11" ht="15.75" x14ac:dyDescent="0.25">
      <c r="A23" s="1">
        <v>2025</v>
      </c>
      <c r="B23" s="1">
        <v>39.494119752053798</v>
      </c>
      <c r="C23" s="1">
        <v>38.717201452061403</v>
      </c>
      <c r="D23" s="1">
        <v>30.219891078007599</v>
      </c>
      <c r="E23" s="1">
        <v>31.692230604097301</v>
      </c>
      <c r="F23" s="1">
        <v>41.0998762016265</v>
      </c>
      <c r="G23" s="1">
        <v>44.987335221171797</v>
      </c>
      <c r="H23" s="1">
        <v>31.948749378238901</v>
      </c>
      <c r="I23" s="1">
        <v>32.820181292090297</v>
      </c>
      <c r="J23" s="1">
        <v>23.088755141878899</v>
      </c>
      <c r="K23" s="1">
        <v>23.9721862184009</v>
      </c>
    </row>
    <row r="24" spans="1:11" ht="15.75" x14ac:dyDescent="0.25">
      <c r="A24" s="1" t="s">
        <v>17</v>
      </c>
      <c r="B24" s="1">
        <f>SUBTOTAL(101,Tabla6[Train NL])</f>
        <v>22.242363182574358</v>
      </c>
      <c r="C24" s="1">
        <f>SUBTOTAL(101,Tabla6[Test NL])</f>
        <v>22.442592325831047</v>
      </c>
      <c r="D24" s="1">
        <f>SUBTOTAL(101,Tabla6[Train Coa])</f>
        <v>19.599029052618743</v>
      </c>
      <c r="E24" s="1">
        <f>SUBTOTAL(101,Tabla6[Test Coa])</f>
        <v>20.080043876607288</v>
      </c>
      <c r="F24" s="1">
        <f>SUBTOTAL(101,Tabla6[Train CDMX])</f>
        <v>22.41582933169521</v>
      </c>
      <c r="G24" s="1">
        <f>SUBTOTAL(101,Tabla6[Test CDMX])</f>
        <v>23.748638381048746</v>
      </c>
      <c r="H24" s="1">
        <f>SUBTOTAL(101,Tabla6[Train QR])</f>
        <v>19.238020371497154</v>
      </c>
      <c r="I24" s="1">
        <f>SUBTOTAL(101,Tabla6[Test QR])</f>
        <v>19.919366078021238</v>
      </c>
      <c r="J24" s="1">
        <f>SUBTOTAL(101,Tabla6[Train Chp])</f>
        <v>16.195266296156472</v>
      </c>
      <c r="K24" s="1">
        <f>SUBTOTAL(101,Tabla6[Test Chp])</f>
        <v>16.459682667321598</v>
      </c>
    </row>
  </sheetData>
  <mergeCells count="5">
    <mergeCell ref="J1:K1"/>
    <mergeCell ref="B1:C1"/>
    <mergeCell ref="D1:E1"/>
    <mergeCell ref="F1:G1"/>
    <mergeCell ref="H1:I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89F7-865F-42BE-BFFA-554E68D0FCE7}">
  <dimension ref="A1:CK23"/>
  <sheetViews>
    <sheetView tabSelected="1" topLeftCell="BS1" zoomScale="57" workbookViewId="0">
      <selection activeCell="CQ21" sqref="CQ21"/>
    </sheetView>
  </sheetViews>
  <sheetFormatPr baseColWidth="10" defaultRowHeight="15" x14ac:dyDescent="0.25"/>
  <cols>
    <col min="1" max="2" width="11.5703125" bestFit="1" customWidth="1"/>
    <col min="3" max="5" width="12.42578125" bestFit="1" customWidth="1"/>
    <col min="6" max="7" width="12.140625" bestFit="1" customWidth="1"/>
    <col min="9" max="9" width="11.5703125" bestFit="1" customWidth="1"/>
    <col min="10" max="12" width="12.42578125" bestFit="1" customWidth="1"/>
    <col min="13" max="13" width="11.5703125" bestFit="1" customWidth="1"/>
    <col min="15" max="15" width="11.5703125" bestFit="1" customWidth="1"/>
    <col min="16" max="17" width="12.42578125" bestFit="1" customWidth="1"/>
    <col min="19" max="20" width="11.5703125" bestFit="1" customWidth="1"/>
    <col min="21" max="23" width="12.42578125" bestFit="1" customWidth="1"/>
    <col min="24" max="24" width="12.140625" bestFit="1" customWidth="1"/>
    <col min="25" max="25" width="11.5703125" bestFit="1" customWidth="1"/>
    <col min="27" max="27" width="11.5703125" bestFit="1" customWidth="1"/>
    <col min="28" max="30" width="12.42578125" bestFit="1" customWidth="1"/>
    <col min="31" max="31" width="11.5703125" bestFit="1" customWidth="1"/>
    <col min="33" max="33" width="11.5703125" bestFit="1" customWidth="1"/>
    <col min="34" max="35" width="12.42578125" bestFit="1" customWidth="1"/>
    <col min="37" max="38" width="11.5703125" bestFit="1" customWidth="1"/>
    <col min="39" max="41" width="12.42578125" bestFit="1" customWidth="1"/>
    <col min="42" max="42" width="12.140625" bestFit="1" customWidth="1"/>
    <col min="43" max="43" width="11.5703125" bestFit="1" customWidth="1"/>
    <col min="45" max="45" width="11.5703125" bestFit="1" customWidth="1"/>
    <col min="46" max="48" width="12.42578125" bestFit="1" customWidth="1"/>
    <col min="49" max="49" width="11.5703125" bestFit="1" customWidth="1"/>
    <col min="51" max="51" width="11.5703125" bestFit="1" customWidth="1"/>
    <col min="52" max="53" width="12.42578125" bestFit="1" customWidth="1"/>
    <col min="55" max="56" width="11.5703125" bestFit="1" customWidth="1"/>
    <col min="57" max="59" width="12.42578125" bestFit="1" customWidth="1"/>
    <col min="60" max="60" width="12.140625" bestFit="1" customWidth="1"/>
    <col min="61" max="61" width="11.5703125" bestFit="1" customWidth="1"/>
    <col min="63" max="63" width="11.5703125" bestFit="1" customWidth="1"/>
    <col min="64" max="66" width="12.42578125" bestFit="1" customWidth="1"/>
    <col min="67" max="67" width="11.5703125" bestFit="1" customWidth="1"/>
    <col min="69" max="69" width="11.5703125" bestFit="1" customWidth="1"/>
    <col min="70" max="71" width="12.42578125" bestFit="1" customWidth="1"/>
    <col min="73" max="74" width="11.5703125" bestFit="1" customWidth="1"/>
    <col min="75" max="77" width="12.42578125" bestFit="1" customWidth="1"/>
    <col min="78" max="78" width="12.140625" bestFit="1" customWidth="1"/>
    <col min="79" max="79" width="11.5703125" bestFit="1" customWidth="1"/>
    <col min="81" max="81" width="11.5703125" bestFit="1" customWidth="1"/>
    <col min="82" max="84" width="12.42578125" bestFit="1" customWidth="1"/>
    <col min="85" max="85" width="11.5703125" bestFit="1" customWidth="1"/>
    <col min="87" max="87" width="11.5703125" bestFit="1" customWidth="1"/>
    <col min="88" max="89" width="12.42578125" bestFit="1" customWidth="1"/>
  </cols>
  <sheetData>
    <row r="1" spans="1:89" ht="15.75" x14ac:dyDescent="0.25">
      <c r="A1" s="11" t="s">
        <v>3</v>
      </c>
      <c r="B1" s="11"/>
      <c r="C1" s="11"/>
      <c r="D1" s="11"/>
      <c r="E1" s="11"/>
      <c r="F1" s="11"/>
      <c r="G1" s="11"/>
      <c r="H1" s="1"/>
      <c r="I1" s="11" t="s">
        <v>3</v>
      </c>
      <c r="J1" s="11"/>
      <c r="K1" s="11"/>
      <c r="L1" s="11"/>
      <c r="M1" s="11"/>
      <c r="N1" s="1"/>
      <c r="O1" s="11" t="s">
        <v>3</v>
      </c>
      <c r="P1" s="11"/>
      <c r="Q1" s="11"/>
      <c r="R1" s="1"/>
      <c r="S1" s="11" t="s">
        <v>20</v>
      </c>
      <c r="T1" s="11"/>
      <c r="U1" s="11"/>
      <c r="V1" s="11"/>
      <c r="W1" s="11"/>
      <c r="X1" s="11"/>
      <c r="Y1" s="11"/>
      <c r="Z1" s="1"/>
      <c r="AA1" s="11" t="s">
        <v>20</v>
      </c>
      <c r="AB1" s="11"/>
      <c r="AC1" s="11"/>
      <c r="AD1" s="11"/>
      <c r="AE1" s="11"/>
      <c r="AF1" s="1"/>
      <c r="AG1" s="11" t="s">
        <v>20</v>
      </c>
      <c r="AH1" s="11"/>
      <c r="AI1" s="11"/>
      <c r="AJ1" s="1"/>
      <c r="AK1" s="11" t="s">
        <v>35</v>
      </c>
      <c r="AL1" s="11"/>
      <c r="AM1" s="11"/>
      <c r="AN1" s="11"/>
      <c r="AO1" s="11"/>
      <c r="AP1" s="11"/>
      <c r="AQ1" s="11"/>
      <c r="AR1" s="1"/>
      <c r="AS1" s="11" t="s">
        <v>16</v>
      </c>
      <c r="AT1" s="11"/>
      <c r="AU1" s="11"/>
      <c r="AV1" s="11"/>
      <c r="AW1" s="11"/>
      <c r="AX1" s="1"/>
      <c r="AY1" s="11" t="s">
        <v>16</v>
      </c>
      <c r="AZ1" s="11"/>
      <c r="BA1" s="11"/>
      <c r="BB1" s="1"/>
      <c r="BC1" s="11" t="s">
        <v>15</v>
      </c>
      <c r="BD1" s="11"/>
      <c r="BE1" s="11"/>
      <c r="BF1" s="11"/>
      <c r="BG1" s="11"/>
      <c r="BH1" s="11"/>
      <c r="BI1" s="11"/>
      <c r="BJ1" s="1"/>
      <c r="BK1" s="11" t="s">
        <v>15</v>
      </c>
      <c r="BL1" s="11"/>
      <c r="BM1" s="11"/>
      <c r="BN1" s="11"/>
      <c r="BO1" s="11"/>
      <c r="BP1" s="1"/>
      <c r="BQ1" s="11" t="s">
        <v>15</v>
      </c>
      <c r="BR1" s="11"/>
      <c r="BS1" s="11"/>
      <c r="BT1" s="1"/>
      <c r="BU1" s="11" t="s">
        <v>36</v>
      </c>
      <c r="BV1" s="11"/>
      <c r="BW1" s="11"/>
      <c r="BX1" s="11"/>
      <c r="BY1" s="11"/>
      <c r="BZ1" s="11"/>
      <c r="CA1" s="11"/>
      <c r="CB1" s="1"/>
      <c r="CC1" s="11" t="s">
        <v>36</v>
      </c>
      <c r="CD1" s="11"/>
      <c r="CE1" s="11"/>
      <c r="CF1" s="11"/>
      <c r="CG1" s="11"/>
      <c r="CH1" s="1"/>
      <c r="CI1" s="11" t="s">
        <v>36</v>
      </c>
      <c r="CJ1" s="11"/>
      <c r="CK1" s="11"/>
    </row>
    <row r="2" spans="1:89" ht="31.5" x14ac:dyDescent="0.25">
      <c r="A2" s="12" t="s">
        <v>32</v>
      </c>
      <c r="B2" s="12" t="s">
        <v>37</v>
      </c>
      <c r="C2" s="12" t="s">
        <v>38</v>
      </c>
      <c r="D2" s="12" t="s">
        <v>39</v>
      </c>
      <c r="E2" s="12" t="s">
        <v>40</v>
      </c>
      <c r="F2" s="12" t="s">
        <v>41</v>
      </c>
      <c r="G2" s="12" t="s">
        <v>42</v>
      </c>
      <c r="H2" s="1"/>
      <c r="I2" s="12" t="s">
        <v>33</v>
      </c>
      <c r="J2" s="12" t="s">
        <v>43</v>
      </c>
      <c r="K2" s="12" t="s">
        <v>44</v>
      </c>
      <c r="L2" s="12" t="s">
        <v>45</v>
      </c>
      <c r="M2" s="12" t="s">
        <v>46</v>
      </c>
      <c r="N2" s="1"/>
      <c r="O2" s="12" t="s">
        <v>34</v>
      </c>
      <c r="P2" s="12" t="s">
        <v>47</v>
      </c>
      <c r="Q2" s="12" t="s">
        <v>48</v>
      </c>
      <c r="R2" s="1"/>
      <c r="S2" s="12" t="s">
        <v>32</v>
      </c>
      <c r="T2" s="12" t="s">
        <v>37</v>
      </c>
      <c r="U2" s="12" t="s">
        <v>38</v>
      </c>
      <c r="V2" s="12" t="s">
        <v>39</v>
      </c>
      <c r="W2" s="12" t="s">
        <v>40</v>
      </c>
      <c r="X2" s="12" t="s">
        <v>41</v>
      </c>
      <c r="Y2" s="12" t="s">
        <v>42</v>
      </c>
      <c r="Z2" s="1"/>
      <c r="AA2" s="12" t="s">
        <v>33</v>
      </c>
      <c r="AB2" s="12" t="s">
        <v>43</v>
      </c>
      <c r="AC2" s="12" t="s">
        <v>44</v>
      </c>
      <c r="AD2" s="12" t="s">
        <v>45</v>
      </c>
      <c r="AE2" s="12" t="s">
        <v>46</v>
      </c>
      <c r="AF2" s="1"/>
      <c r="AG2" s="12" t="s">
        <v>34</v>
      </c>
      <c r="AH2" s="12" t="s">
        <v>47</v>
      </c>
      <c r="AI2" s="12" t="s">
        <v>48</v>
      </c>
      <c r="AJ2" s="1"/>
      <c r="AK2" s="12" t="s">
        <v>32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"/>
      <c r="AS2" s="12" t="s">
        <v>33</v>
      </c>
      <c r="AT2" s="12" t="s">
        <v>43</v>
      </c>
      <c r="AU2" s="12" t="s">
        <v>44</v>
      </c>
      <c r="AV2" s="12" t="s">
        <v>45</v>
      </c>
      <c r="AW2" s="12" t="s">
        <v>46</v>
      </c>
      <c r="AX2" s="1"/>
      <c r="AY2" s="12" t="s">
        <v>34</v>
      </c>
      <c r="AZ2" s="12" t="s">
        <v>47</v>
      </c>
      <c r="BA2" s="12" t="s">
        <v>48</v>
      </c>
      <c r="BB2" s="1"/>
      <c r="BC2" s="12" t="s">
        <v>32</v>
      </c>
      <c r="BD2" s="12" t="s">
        <v>37</v>
      </c>
      <c r="BE2" s="12" t="s">
        <v>38</v>
      </c>
      <c r="BF2" s="12" t="s">
        <v>39</v>
      </c>
      <c r="BG2" s="12" t="s">
        <v>40</v>
      </c>
      <c r="BH2" s="12" t="s">
        <v>41</v>
      </c>
      <c r="BI2" s="12" t="s">
        <v>42</v>
      </c>
      <c r="BJ2" s="1"/>
      <c r="BK2" s="12" t="s">
        <v>33</v>
      </c>
      <c r="BL2" s="12" t="s">
        <v>43</v>
      </c>
      <c r="BM2" s="12" t="s">
        <v>44</v>
      </c>
      <c r="BN2" s="12" t="s">
        <v>45</v>
      </c>
      <c r="BO2" s="12" t="s">
        <v>46</v>
      </c>
      <c r="BP2" s="1"/>
      <c r="BQ2" s="12" t="s">
        <v>34</v>
      </c>
      <c r="BR2" s="12" t="s">
        <v>47</v>
      </c>
      <c r="BS2" s="12" t="s">
        <v>48</v>
      </c>
      <c r="BT2" s="1"/>
      <c r="BU2" s="12" t="s">
        <v>32</v>
      </c>
      <c r="BV2" s="12" t="s">
        <v>37</v>
      </c>
      <c r="BW2" s="12" t="s">
        <v>38</v>
      </c>
      <c r="BX2" s="12" t="s">
        <v>39</v>
      </c>
      <c r="BY2" s="12" t="s">
        <v>40</v>
      </c>
      <c r="BZ2" s="12" t="s">
        <v>41</v>
      </c>
      <c r="CA2" s="12" t="s">
        <v>42</v>
      </c>
      <c r="CB2" s="1"/>
      <c r="CC2" s="12" t="s">
        <v>33</v>
      </c>
      <c r="CD2" s="12" t="s">
        <v>43</v>
      </c>
      <c r="CE2" s="12" t="s">
        <v>44</v>
      </c>
      <c r="CF2" s="12" t="s">
        <v>45</v>
      </c>
      <c r="CG2" s="12" t="s">
        <v>46</v>
      </c>
      <c r="CH2" s="1"/>
      <c r="CI2" s="12" t="s">
        <v>34</v>
      </c>
      <c r="CJ2" s="12" t="s">
        <v>47</v>
      </c>
      <c r="CK2" s="12" t="s">
        <v>48</v>
      </c>
    </row>
    <row r="3" spans="1:89" ht="15.75" x14ac:dyDescent="0.25">
      <c r="A3" s="13">
        <v>2005</v>
      </c>
      <c r="B3" s="13">
        <v>5.3373309999999998</v>
      </c>
      <c r="C3" s="13">
        <v>23.958020999999999</v>
      </c>
      <c r="D3" s="13">
        <v>27.968516000000001</v>
      </c>
      <c r="E3" s="13">
        <v>23.800599999999999</v>
      </c>
      <c r="F3" s="13">
        <v>13.043478</v>
      </c>
      <c r="G3" s="13">
        <v>5.8920539999999999</v>
      </c>
      <c r="H3" s="1"/>
      <c r="I3" s="13">
        <v>2005</v>
      </c>
      <c r="J3" s="13">
        <v>49.902549</v>
      </c>
      <c r="K3" s="13">
        <v>28.260870000000001</v>
      </c>
      <c r="L3" s="13">
        <v>19.805097</v>
      </c>
      <c r="M3" s="13">
        <v>2.0314839999999998</v>
      </c>
      <c r="N3" s="1"/>
      <c r="O3" s="13">
        <v>2005</v>
      </c>
      <c r="P3" s="13">
        <v>51.806596999999996</v>
      </c>
      <c r="Q3" s="13">
        <v>48.193403000000004</v>
      </c>
      <c r="R3" s="1"/>
      <c r="S3" s="13">
        <v>2005</v>
      </c>
      <c r="T3" s="13">
        <v>7.0831679999999997</v>
      </c>
      <c r="U3" s="13">
        <v>29.931025000000002</v>
      </c>
      <c r="V3" s="13">
        <v>28.995888000000001</v>
      </c>
      <c r="W3" s="13">
        <v>20.486802000000001</v>
      </c>
      <c r="X3" s="13">
        <v>9.9681660000000001</v>
      </c>
      <c r="Y3" s="13">
        <v>3.5349520000000001</v>
      </c>
      <c r="Z3" s="1"/>
      <c r="AA3" s="13">
        <v>2005</v>
      </c>
      <c r="AB3" s="13">
        <v>53.070698999999998</v>
      </c>
      <c r="AC3" s="13">
        <v>23.358536000000001</v>
      </c>
      <c r="AD3" s="13">
        <v>21.680593999999999</v>
      </c>
      <c r="AE3" s="13">
        <v>1.890171</v>
      </c>
      <c r="AF3" s="1"/>
      <c r="AG3" s="13">
        <v>2005</v>
      </c>
      <c r="AH3" s="13">
        <v>55.445019000000002</v>
      </c>
      <c r="AI3" s="13">
        <v>44.554980999999998</v>
      </c>
      <c r="AJ3" s="1"/>
      <c r="AK3" s="13">
        <v>2005</v>
      </c>
      <c r="AL3" s="13">
        <v>6.3765510000000001</v>
      </c>
      <c r="AM3" s="13">
        <v>27.254612000000002</v>
      </c>
      <c r="AN3" s="13">
        <v>29.362988000000001</v>
      </c>
      <c r="AO3" s="13">
        <v>21.675129999999999</v>
      </c>
      <c r="AP3" s="13">
        <v>10.689722</v>
      </c>
      <c r="AQ3" s="13">
        <v>4.6409979999999997</v>
      </c>
      <c r="AR3" s="1"/>
      <c r="AS3" s="13">
        <v>2005</v>
      </c>
      <c r="AT3" s="13">
        <v>55.968373999999997</v>
      </c>
      <c r="AU3" s="13">
        <v>24.400590999999999</v>
      </c>
      <c r="AV3" s="13">
        <v>18.377579000000001</v>
      </c>
      <c r="AW3" s="13">
        <v>1.253455</v>
      </c>
      <c r="AX3" s="1"/>
      <c r="AY3" s="13">
        <v>2005</v>
      </c>
      <c r="AZ3" s="13">
        <v>35.437424</v>
      </c>
      <c r="BA3" s="13">
        <v>64.562576000000007</v>
      </c>
      <c r="BB3" s="1"/>
      <c r="BC3" s="13">
        <v>2005</v>
      </c>
      <c r="BD3" s="13">
        <v>7.8442769999999999</v>
      </c>
      <c r="BE3" s="13">
        <v>28.683112000000001</v>
      </c>
      <c r="BF3" s="13">
        <v>27.003328</v>
      </c>
      <c r="BG3" s="13">
        <v>21.087105999999999</v>
      </c>
      <c r="BH3" s="13">
        <v>10.781257999999999</v>
      </c>
      <c r="BI3" s="13">
        <v>4.6009190000000002</v>
      </c>
      <c r="BJ3" s="1"/>
      <c r="BK3" s="13">
        <v>2005</v>
      </c>
      <c r="BL3" s="13">
        <v>54.730336000000001</v>
      </c>
      <c r="BM3" s="13">
        <v>26.665258000000001</v>
      </c>
      <c r="BN3" s="13">
        <v>17.172891</v>
      </c>
      <c r="BO3" s="13">
        <v>1.431514</v>
      </c>
      <c r="BP3" s="1"/>
      <c r="BQ3" s="13">
        <v>2005</v>
      </c>
      <c r="BR3" s="13">
        <v>37.145423000000001</v>
      </c>
      <c r="BS3" s="13">
        <v>62.854576999999999</v>
      </c>
      <c r="BT3" s="1"/>
      <c r="BU3" s="13">
        <v>2005</v>
      </c>
      <c r="BV3" s="13">
        <v>8.1923670000000008</v>
      </c>
      <c r="BW3" s="13">
        <v>30.085279</v>
      </c>
      <c r="BX3" s="13">
        <v>30.735355999999999</v>
      </c>
      <c r="BY3" s="13">
        <v>19.956662000000001</v>
      </c>
      <c r="BZ3" s="13">
        <v>8.2832380000000008</v>
      </c>
      <c r="CA3" s="13">
        <v>2.747099</v>
      </c>
      <c r="CB3" s="1"/>
      <c r="CC3" s="13">
        <v>2005</v>
      </c>
      <c r="CD3" s="13">
        <v>60.764713999999998</v>
      </c>
      <c r="CE3" s="13">
        <v>26.688103000000002</v>
      </c>
      <c r="CF3" s="13">
        <v>11.708373999999999</v>
      </c>
      <c r="CG3" s="13">
        <v>0.83880900000000003</v>
      </c>
      <c r="CH3" s="1"/>
      <c r="CI3" s="13">
        <v>2005</v>
      </c>
      <c r="CJ3" s="13">
        <v>44.680554000000001</v>
      </c>
      <c r="CK3" s="13">
        <v>55.319445999999999</v>
      </c>
    </row>
    <row r="4" spans="1:89" ht="15.75" x14ac:dyDescent="0.25">
      <c r="A4" s="13">
        <v>2006</v>
      </c>
      <c r="B4" s="13">
        <v>4.602131</v>
      </c>
      <c r="C4" s="13">
        <v>24.46913</v>
      </c>
      <c r="D4" s="13">
        <v>28.459154999999999</v>
      </c>
      <c r="E4" s="13">
        <v>23.139122</v>
      </c>
      <c r="F4" s="13">
        <v>13.330311</v>
      </c>
      <c r="G4" s="13">
        <v>6.0001509999999998</v>
      </c>
      <c r="H4" s="1"/>
      <c r="I4" s="13">
        <v>2006</v>
      </c>
      <c r="J4" s="13">
        <v>48.439506999999999</v>
      </c>
      <c r="K4" s="13">
        <v>28.534724000000001</v>
      </c>
      <c r="L4" s="13">
        <v>20.584900999999999</v>
      </c>
      <c r="M4" s="13">
        <v>2.440868</v>
      </c>
      <c r="N4" s="1"/>
      <c r="O4" s="13">
        <v>2006</v>
      </c>
      <c r="P4" s="13">
        <v>51.296002000000001</v>
      </c>
      <c r="Q4" s="13">
        <v>48.703997999999999</v>
      </c>
      <c r="R4" s="1"/>
      <c r="S4" s="13">
        <v>2006</v>
      </c>
      <c r="T4" s="13">
        <v>7.1452270000000002</v>
      </c>
      <c r="U4" s="13">
        <v>29.350494000000001</v>
      </c>
      <c r="V4" s="13">
        <v>28.640616000000001</v>
      </c>
      <c r="W4" s="13">
        <v>20.513501000000002</v>
      </c>
      <c r="X4" s="13">
        <v>10.289922000000001</v>
      </c>
      <c r="Y4" s="13">
        <v>4.0602400000000003</v>
      </c>
      <c r="Z4" s="1"/>
      <c r="AA4" s="13">
        <v>2006</v>
      </c>
      <c r="AB4" s="13">
        <v>52.816293999999999</v>
      </c>
      <c r="AC4" s="13">
        <v>23.034565000000001</v>
      </c>
      <c r="AD4" s="13">
        <v>21.992968000000001</v>
      </c>
      <c r="AE4" s="13">
        <v>2.1561729999999999</v>
      </c>
      <c r="AF4" s="1"/>
      <c r="AG4" s="13">
        <v>2006</v>
      </c>
      <c r="AH4" s="13">
        <v>54.441716999999997</v>
      </c>
      <c r="AI4" s="13">
        <v>45.558283000000003</v>
      </c>
      <c r="AJ4" s="1"/>
      <c r="AK4" s="13">
        <v>2006</v>
      </c>
      <c r="AL4" s="13">
        <v>7.2565280000000003</v>
      </c>
      <c r="AM4" s="13">
        <v>26.046082999999999</v>
      </c>
      <c r="AN4" s="13">
        <v>27.502303999999999</v>
      </c>
      <c r="AO4" s="13">
        <v>22.470046</v>
      </c>
      <c r="AP4" s="13">
        <v>11.557604</v>
      </c>
      <c r="AQ4" s="13">
        <v>5.1674350000000002</v>
      </c>
      <c r="AR4" s="1"/>
      <c r="AS4" s="13">
        <v>2006</v>
      </c>
      <c r="AT4" s="13">
        <v>55.090629999999997</v>
      </c>
      <c r="AU4" s="13">
        <v>25.867896000000002</v>
      </c>
      <c r="AV4" s="13">
        <v>17.788018000000001</v>
      </c>
      <c r="AW4" s="13">
        <v>1.2534559999999999</v>
      </c>
      <c r="AX4" s="1"/>
      <c r="AY4" s="13">
        <v>2006</v>
      </c>
      <c r="AZ4" s="13">
        <v>35.569892000000003</v>
      </c>
      <c r="BA4" s="13">
        <v>64.430108000000004</v>
      </c>
      <c r="BB4" s="1"/>
      <c r="BC4" s="13">
        <v>2006</v>
      </c>
      <c r="BD4" s="13">
        <v>7.9878450000000001</v>
      </c>
      <c r="BE4" s="13">
        <v>28.125678000000001</v>
      </c>
      <c r="BF4" s="13">
        <v>26.638811</v>
      </c>
      <c r="BG4" s="13">
        <v>21.261123999999999</v>
      </c>
      <c r="BH4" s="13">
        <v>11.254613000000001</v>
      </c>
      <c r="BI4" s="13">
        <v>4.7319300000000002</v>
      </c>
      <c r="BJ4" s="1"/>
      <c r="BK4" s="13">
        <v>2006</v>
      </c>
      <c r="BL4" s="13">
        <v>54.482309999999998</v>
      </c>
      <c r="BM4" s="13">
        <v>26.720208</v>
      </c>
      <c r="BN4" s="13">
        <v>17.397438999999999</v>
      </c>
      <c r="BO4" s="13">
        <v>1.4000429999999999</v>
      </c>
      <c r="BP4" s="1"/>
      <c r="BQ4" s="13">
        <v>2006</v>
      </c>
      <c r="BR4" s="13">
        <v>37.372477000000003</v>
      </c>
      <c r="BS4" s="13">
        <v>62.627522999999997</v>
      </c>
      <c r="BT4" s="1"/>
      <c r="BU4" s="13">
        <v>2006</v>
      </c>
      <c r="BV4" s="13">
        <v>8.9253909999999994</v>
      </c>
      <c r="BW4" s="13">
        <v>30.166898</v>
      </c>
      <c r="BX4" s="13">
        <v>29.619368000000001</v>
      </c>
      <c r="BY4" s="13">
        <v>20.186028</v>
      </c>
      <c r="BZ4" s="13">
        <v>8.2129429999999992</v>
      </c>
      <c r="CA4" s="13">
        <v>2.889373</v>
      </c>
      <c r="CB4" s="1"/>
      <c r="CC4" s="13">
        <v>2006</v>
      </c>
      <c r="CD4" s="13">
        <v>59.779668999999998</v>
      </c>
      <c r="CE4" s="13">
        <v>25.535985</v>
      </c>
      <c r="CF4" s="13">
        <v>13.872947</v>
      </c>
      <c r="CG4" s="13">
        <v>0.81139899999999998</v>
      </c>
      <c r="CH4" s="1"/>
      <c r="CI4" s="13">
        <v>2006</v>
      </c>
      <c r="CJ4" s="13">
        <v>45.339402</v>
      </c>
      <c r="CK4" s="13">
        <v>54.660598</v>
      </c>
    </row>
    <row r="5" spans="1:89" ht="15.75" x14ac:dyDescent="0.25">
      <c r="A5" s="13">
        <v>2007</v>
      </c>
      <c r="B5" s="13">
        <v>4.7745569999999997</v>
      </c>
      <c r="C5" s="13">
        <v>23.396108000000002</v>
      </c>
      <c r="D5" s="13">
        <v>27.483004000000001</v>
      </c>
      <c r="E5" s="13">
        <v>23.106978000000002</v>
      </c>
      <c r="F5" s="13">
        <v>14.354927</v>
      </c>
      <c r="G5" s="13">
        <v>6.8844260000000004</v>
      </c>
      <c r="H5" s="1"/>
      <c r="I5" s="13">
        <v>2007</v>
      </c>
      <c r="J5" s="13">
        <v>47.589278999999998</v>
      </c>
      <c r="K5" s="13">
        <v>29.389700999999999</v>
      </c>
      <c r="L5" s="13">
        <v>20.997108999999998</v>
      </c>
      <c r="M5" s="13">
        <v>2.0239120000000002</v>
      </c>
      <c r="N5" s="1"/>
      <c r="O5" s="13">
        <v>2007</v>
      </c>
      <c r="P5" s="13">
        <v>49.917949999999998</v>
      </c>
      <c r="Q5" s="13">
        <v>50.082050000000002</v>
      </c>
      <c r="R5" s="1"/>
      <c r="S5" s="13">
        <v>2007</v>
      </c>
      <c r="T5" s="13">
        <v>7.1735540000000002</v>
      </c>
      <c r="U5" s="13">
        <v>28.178512000000001</v>
      </c>
      <c r="V5" s="13">
        <v>28.112397000000001</v>
      </c>
      <c r="W5" s="13">
        <v>21.666115999999999</v>
      </c>
      <c r="X5" s="13">
        <v>10.300826000000001</v>
      </c>
      <c r="Y5" s="13">
        <v>4.5685950000000002</v>
      </c>
      <c r="Z5" s="1"/>
      <c r="AA5" s="13">
        <v>2007</v>
      </c>
      <c r="AB5" s="13">
        <v>52.528925999999998</v>
      </c>
      <c r="AC5" s="13">
        <v>22.928926000000001</v>
      </c>
      <c r="AD5" s="13">
        <v>22.61157</v>
      </c>
      <c r="AE5" s="13">
        <v>1.930579</v>
      </c>
      <c r="AF5" s="1"/>
      <c r="AG5" s="13">
        <v>2007</v>
      </c>
      <c r="AH5" s="13">
        <v>54.188429999999997</v>
      </c>
      <c r="AI5" s="13">
        <v>45.811570000000003</v>
      </c>
      <c r="AJ5" s="1"/>
      <c r="AK5" s="13">
        <v>2007</v>
      </c>
      <c r="AL5" s="13">
        <v>7.181991</v>
      </c>
      <c r="AM5" s="13">
        <v>26.637685000000001</v>
      </c>
      <c r="AN5" s="13">
        <v>26.959266</v>
      </c>
      <c r="AO5" s="13">
        <v>22.093854</v>
      </c>
      <c r="AP5" s="13">
        <v>11.26727</v>
      </c>
      <c r="AQ5" s="13">
        <v>5.8599329999999998</v>
      </c>
      <c r="AR5" s="1"/>
      <c r="AS5" s="13">
        <v>2007</v>
      </c>
      <c r="AT5" s="13">
        <v>55.073844999999999</v>
      </c>
      <c r="AU5" s="13">
        <v>26.488803999999998</v>
      </c>
      <c r="AV5" s="13">
        <v>17.091472</v>
      </c>
      <c r="AW5" s="13">
        <v>1.345879</v>
      </c>
      <c r="AX5" s="1"/>
      <c r="AY5" s="13">
        <v>2007</v>
      </c>
      <c r="AZ5" s="13">
        <v>36.547165</v>
      </c>
      <c r="BA5" s="13">
        <v>63.452835</v>
      </c>
      <c r="BB5" s="1"/>
      <c r="BC5" s="13">
        <v>2007</v>
      </c>
      <c r="BD5" s="13">
        <v>8.7965689999999999</v>
      </c>
      <c r="BE5" s="13">
        <v>26.947199000000001</v>
      </c>
      <c r="BF5" s="13">
        <v>25.896542</v>
      </c>
      <c r="BG5" s="13">
        <v>22.229965</v>
      </c>
      <c r="BH5" s="13">
        <v>11.369605999999999</v>
      </c>
      <c r="BI5" s="13">
        <v>4.7601180000000003</v>
      </c>
      <c r="BJ5" s="1"/>
      <c r="BK5" s="13">
        <v>2007</v>
      </c>
      <c r="BL5" s="13">
        <v>56.086840000000002</v>
      </c>
      <c r="BM5" s="13">
        <v>26.336103000000001</v>
      </c>
      <c r="BN5" s="13">
        <v>16.188689</v>
      </c>
      <c r="BO5" s="13">
        <v>1.388368</v>
      </c>
      <c r="BP5" s="1"/>
      <c r="BQ5" s="13">
        <v>2007</v>
      </c>
      <c r="BR5" s="13">
        <v>37.823639999999997</v>
      </c>
      <c r="BS5" s="13">
        <v>62.176360000000003</v>
      </c>
      <c r="BT5" s="1"/>
      <c r="BU5" s="13">
        <v>2007</v>
      </c>
      <c r="BV5" s="13">
        <v>9.107856</v>
      </c>
      <c r="BW5" s="13">
        <v>30.672436999999999</v>
      </c>
      <c r="BX5" s="13">
        <v>27.869506999999999</v>
      </c>
      <c r="BY5" s="13">
        <v>21.171771</v>
      </c>
      <c r="BZ5" s="13">
        <v>8.5352859999999993</v>
      </c>
      <c r="CA5" s="13">
        <v>2.6431420000000001</v>
      </c>
      <c r="CB5" s="1"/>
      <c r="CC5" s="13">
        <v>2007</v>
      </c>
      <c r="CD5" s="13">
        <v>59.420771999999999</v>
      </c>
      <c r="CE5" s="13">
        <v>25.252996</v>
      </c>
      <c r="CF5" s="13">
        <v>14.573900999999999</v>
      </c>
      <c r="CG5" s="13">
        <v>0.75233000000000005</v>
      </c>
      <c r="CH5" s="1"/>
      <c r="CI5" s="13">
        <v>2007</v>
      </c>
      <c r="CJ5" s="13">
        <v>45.565911999999997</v>
      </c>
      <c r="CK5" s="13">
        <v>54.434088000000003</v>
      </c>
    </row>
    <row r="6" spans="1:89" ht="15.75" x14ac:dyDescent="0.25">
      <c r="A6" s="13">
        <v>2008</v>
      </c>
      <c r="B6" s="13">
        <v>4.5443239999999996</v>
      </c>
      <c r="C6" s="13">
        <v>22.447963999999999</v>
      </c>
      <c r="D6" s="13">
        <v>27.796665999999998</v>
      </c>
      <c r="E6" s="13">
        <v>23.127953999999999</v>
      </c>
      <c r="F6" s="13">
        <v>15.225142999999999</v>
      </c>
      <c r="G6" s="13">
        <v>6.8579480000000004</v>
      </c>
      <c r="H6" s="1"/>
      <c r="I6" s="13">
        <v>2008</v>
      </c>
      <c r="J6" s="13">
        <v>47.790031999999997</v>
      </c>
      <c r="K6" s="13">
        <v>29.446885999999999</v>
      </c>
      <c r="L6" s="13">
        <v>20.548967999999999</v>
      </c>
      <c r="M6" s="13">
        <v>2.2141139999999999</v>
      </c>
      <c r="N6" s="1"/>
      <c r="O6" s="13">
        <v>2008</v>
      </c>
      <c r="P6" s="13">
        <v>50.136826999999997</v>
      </c>
      <c r="Q6" s="13">
        <v>49.863173000000003</v>
      </c>
      <c r="R6" s="1"/>
      <c r="S6" s="13">
        <v>2008</v>
      </c>
      <c r="T6" s="13">
        <v>6.7276030000000002</v>
      </c>
      <c r="U6" s="13">
        <v>28.227703000000002</v>
      </c>
      <c r="V6" s="13">
        <v>27.306943</v>
      </c>
      <c r="W6" s="13">
        <v>22.830835</v>
      </c>
      <c r="X6" s="13">
        <v>10.303112</v>
      </c>
      <c r="Y6" s="13">
        <v>4.6038040000000002</v>
      </c>
      <c r="Z6" s="1"/>
      <c r="AA6" s="13">
        <v>2008</v>
      </c>
      <c r="AB6" s="13">
        <v>50.104174</v>
      </c>
      <c r="AC6" s="13">
        <v>23.059345</v>
      </c>
      <c r="AD6" s="13">
        <v>24.329592000000002</v>
      </c>
      <c r="AE6" s="13">
        <v>2.5068890000000001</v>
      </c>
      <c r="AF6" s="1"/>
      <c r="AG6" s="13">
        <v>2008</v>
      </c>
      <c r="AH6" s="13">
        <v>54.177028</v>
      </c>
      <c r="AI6" s="13">
        <v>45.822972</v>
      </c>
      <c r="AJ6" s="1"/>
      <c r="AK6" s="13">
        <v>2008</v>
      </c>
      <c r="AL6" s="13">
        <v>7.0021880000000003</v>
      </c>
      <c r="AM6" s="13">
        <v>26.118404999999999</v>
      </c>
      <c r="AN6" s="13">
        <v>27.577193999999999</v>
      </c>
      <c r="AO6" s="13">
        <v>21.225383000000001</v>
      </c>
      <c r="AP6" s="13">
        <v>12.314612</v>
      </c>
      <c r="AQ6" s="13">
        <v>5.7622169999999997</v>
      </c>
      <c r="AR6" s="1"/>
      <c r="AS6" s="13">
        <v>2008</v>
      </c>
      <c r="AT6" s="13">
        <v>55.549477000000003</v>
      </c>
      <c r="AU6" s="13">
        <v>26.531728999999999</v>
      </c>
      <c r="AV6" s="13">
        <v>16.599805</v>
      </c>
      <c r="AW6" s="13">
        <v>1.318989</v>
      </c>
      <c r="AX6" s="1"/>
      <c r="AY6" s="13">
        <v>2008</v>
      </c>
      <c r="AZ6" s="13">
        <v>38.402625999999998</v>
      </c>
      <c r="BA6" s="13">
        <v>61.597374000000002</v>
      </c>
      <c r="BB6" s="1"/>
      <c r="BC6" s="13">
        <v>2008</v>
      </c>
      <c r="BD6" s="13">
        <v>8.6274060000000006</v>
      </c>
      <c r="BE6" s="13">
        <v>26.489459</v>
      </c>
      <c r="BF6" s="13">
        <v>25.653071000000001</v>
      </c>
      <c r="BG6" s="13">
        <v>22.456461999999998</v>
      </c>
      <c r="BH6" s="13">
        <v>11.938587999999999</v>
      </c>
      <c r="BI6" s="13">
        <v>4.8350140000000001</v>
      </c>
      <c r="BJ6" s="1"/>
      <c r="BK6" s="13">
        <v>2008</v>
      </c>
      <c r="BL6" s="13">
        <v>56.175527000000002</v>
      </c>
      <c r="BM6" s="13">
        <v>26.059808</v>
      </c>
      <c r="BN6" s="13">
        <v>16.338221999999998</v>
      </c>
      <c r="BO6" s="13">
        <v>1.426444</v>
      </c>
      <c r="BP6" s="1"/>
      <c r="BQ6" s="13">
        <v>2008</v>
      </c>
      <c r="BR6" s="13">
        <v>39.298808000000001</v>
      </c>
      <c r="BS6" s="13">
        <v>60.701191999999999</v>
      </c>
      <c r="BT6" s="1"/>
      <c r="BU6" s="13">
        <v>2008</v>
      </c>
      <c r="BV6" s="13">
        <v>9.1383989999999997</v>
      </c>
      <c r="BW6" s="13">
        <v>31.33663</v>
      </c>
      <c r="BX6" s="13">
        <v>27.087831999999999</v>
      </c>
      <c r="BY6" s="13">
        <v>20.742495000000002</v>
      </c>
      <c r="BZ6" s="13">
        <v>8.8319290000000006</v>
      </c>
      <c r="CA6" s="13">
        <v>2.8627150000000001</v>
      </c>
      <c r="CB6" s="1"/>
      <c r="CC6" s="13">
        <v>2008</v>
      </c>
      <c r="CD6" s="13">
        <v>58.675210999999997</v>
      </c>
      <c r="CE6" s="13">
        <v>26.676881999999999</v>
      </c>
      <c r="CF6" s="13">
        <v>13.714563999999999</v>
      </c>
      <c r="CG6" s="13">
        <v>0.93334300000000003</v>
      </c>
      <c r="CH6" s="1"/>
      <c r="CI6" s="13">
        <v>2008</v>
      </c>
      <c r="CJ6" s="13">
        <v>45.281047999999998</v>
      </c>
      <c r="CK6" s="13">
        <v>54.718952000000002</v>
      </c>
    </row>
    <row r="7" spans="1:89" ht="15.75" x14ac:dyDescent="0.25">
      <c r="A7" s="13">
        <v>2009</v>
      </c>
      <c r="B7" s="13">
        <v>4.0429789999999999</v>
      </c>
      <c r="C7" s="13">
        <v>22.509561000000001</v>
      </c>
      <c r="D7" s="13">
        <v>27.217265000000001</v>
      </c>
      <c r="E7" s="13">
        <v>23.274449000000001</v>
      </c>
      <c r="F7" s="13">
        <v>15.962484</v>
      </c>
      <c r="G7" s="13">
        <v>6.9932619999999996</v>
      </c>
      <c r="H7" s="1"/>
      <c r="I7" s="13">
        <v>2009</v>
      </c>
      <c r="J7" s="13">
        <v>47.750864999999997</v>
      </c>
      <c r="K7" s="13">
        <v>29.803315000000001</v>
      </c>
      <c r="L7" s="13">
        <v>20.023675000000001</v>
      </c>
      <c r="M7" s="13">
        <v>2.422145</v>
      </c>
      <c r="N7" s="1"/>
      <c r="O7" s="13">
        <v>2009</v>
      </c>
      <c r="P7" s="13">
        <v>52.513202999999997</v>
      </c>
      <c r="Q7" s="13">
        <v>47.486797000000003</v>
      </c>
      <c r="R7" s="1"/>
      <c r="S7" s="13">
        <v>2009</v>
      </c>
      <c r="T7" s="13">
        <v>6.8264719999999999</v>
      </c>
      <c r="U7" s="13">
        <v>27.651119999999999</v>
      </c>
      <c r="V7" s="13">
        <v>27.657634000000002</v>
      </c>
      <c r="W7" s="13">
        <v>22.466128000000001</v>
      </c>
      <c r="X7" s="13">
        <v>10.99531</v>
      </c>
      <c r="Y7" s="13">
        <v>4.4033350000000002</v>
      </c>
      <c r="Z7" s="1"/>
      <c r="AA7" s="13">
        <v>2009</v>
      </c>
      <c r="AB7" s="13">
        <v>50.657895000000003</v>
      </c>
      <c r="AC7" s="13">
        <v>23.488796000000001</v>
      </c>
      <c r="AD7" s="13">
        <v>23.071912000000001</v>
      </c>
      <c r="AE7" s="13">
        <v>2.7813970000000001</v>
      </c>
      <c r="AF7" s="1"/>
      <c r="AG7" s="13">
        <v>2009</v>
      </c>
      <c r="AH7" s="13">
        <v>54.344710999999997</v>
      </c>
      <c r="AI7" s="13">
        <v>45.655289000000003</v>
      </c>
      <c r="AJ7" s="1"/>
      <c r="AK7" s="13">
        <v>2009</v>
      </c>
      <c r="AL7" s="13">
        <v>6.1167189999999998</v>
      </c>
      <c r="AM7" s="13">
        <v>25.957616999999999</v>
      </c>
      <c r="AN7" s="13">
        <v>27.508523</v>
      </c>
      <c r="AO7" s="13">
        <v>22.728791999999999</v>
      </c>
      <c r="AP7" s="13">
        <v>12.246808</v>
      </c>
      <c r="AQ7" s="13">
        <v>5.4415399999999998</v>
      </c>
      <c r="AR7" s="1"/>
      <c r="AS7" s="13">
        <v>2009</v>
      </c>
      <c r="AT7" s="13">
        <v>54.127949999999998</v>
      </c>
      <c r="AU7" s="13">
        <v>28.143592000000002</v>
      </c>
      <c r="AV7" s="13">
        <v>16.632128000000002</v>
      </c>
      <c r="AW7" s="13">
        <v>1.09633</v>
      </c>
      <c r="AX7" s="1"/>
      <c r="AY7" s="13">
        <v>2009</v>
      </c>
      <c r="AZ7" s="13">
        <v>40.042783999999997</v>
      </c>
      <c r="BA7" s="13">
        <v>59.957216000000003</v>
      </c>
      <c r="BB7" s="1"/>
      <c r="BC7" s="13">
        <v>2009</v>
      </c>
      <c r="BD7" s="13">
        <v>7.5413490000000003</v>
      </c>
      <c r="BE7" s="13">
        <v>27.113416000000001</v>
      </c>
      <c r="BF7" s="13">
        <v>25.242846</v>
      </c>
      <c r="BG7" s="13">
        <v>22.709372999999999</v>
      </c>
      <c r="BH7" s="13">
        <v>11.925701999999999</v>
      </c>
      <c r="BI7" s="13">
        <v>5.467314</v>
      </c>
      <c r="BJ7" s="1"/>
      <c r="BK7" s="13">
        <v>2009</v>
      </c>
      <c r="BL7" s="13">
        <v>55.414807000000003</v>
      </c>
      <c r="BM7" s="13">
        <v>27.599107</v>
      </c>
      <c r="BN7" s="13">
        <v>15.725911999999999</v>
      </c>
      <c r="BO7" s="13">
        <v>1.260173</v>
      </c>
      <c r="BP7" s="1"/>
      <c r="BQ7" s="13">
        <v>2009</v>
      </c>
      <c r="BR7" s="13">
        <v>42.484904</v>
      </c>
      <c r="BS7" s="13">
        <v>57.515096</v>
      </c>
      <c r="BT7" s="1"/>
      <c r="BU7" s="13">
        <v>2009</v>
      </c>
      <c r="BV7" s="13">
        <v>8.0957989999999995</v>
      </c>
      <c r="BW7" s="13">
        <v>31.142520999999999</v>
      </c>
      <c r="BX7" s="13">
        <v>25.740086000000002</v>
      </c>
      <c r="BY7" s="13">
        <v>21.751080000000002</v>
      </c>
      <c r="BZ7" s="13">
        <v>10.098155</v>
      </c>
      <c r="CA7" s="13">
        <v>3.1723599999999998</v>
      </c>
      <c r="CB7" s="1"/>
      <c r="CC7" s="13">
        <v>2009</v>
      </c>
      <c r="CD7" s="13">
        <v>57.746367999999997</v>
      </c>
      <c r="CE7" s="13">
        <v>27.522576000000001</v>
      </c>
      <c r="CF7" s="13">
        <v>13.68669</v>
      </c>
      <c r="CG7" s="13">
        <v>1.0443659999999999</v>
      </c>
      <c r="CH7" s="1"/>
      <c r="CI7" s="13">
        <v>2009</v>
      </c>
      <c r="CJ7" s="13">
        <v>47.522576000000001</v>
      </c>
      <c r="CK7" s="13">
        <v>52.477423999999999</v>
      </c>
    </row>
    <row r="8" spans="1:89" ht="15.75" x14ac:dyDescent="0.25">
      <c r="A8" s="13">
        <v>2010</v>
      </c>
      <c r="B8" s="13">
        <v>4.3193599999999996</v>
      </c>
      <c r="C8" s="13">
        <v>22.26971</v>
      </c>
      <c r="D8" s="13">
        <v>27.807583999999999</v>
      </c>
      <c r="E8" s="13">
        <v>23.660997999999999</v>
      </c>
      <c r="F8" s="13">
        <v>15.313267</v>
      </c>
      <c r="G8" s="13">
        <v>6.6290810000000002</v>
      </c>
      <c r="H8" s="1"/>
      <c r="I8" s="13">
        <v>2010</v>
      </c>
      <c r="J8" s="13">
        <v>48.131309000000002</v>
      </c>
      <c r="K8" s="13">
        <v>30.226424999999999</v>
      </c>
      <c r="L8" s="13">
        <v>19.296171999999999</v>
      </c>
      <c r="M8" s="13">
        <v>2.3460939999999999</v>
      </c>
      <c r="N8" s="1"/>
      <c r="O8" s="13">
        <v>2010</v>
      </c>
      <c r="P8" s="13">
        <v>52.905338</v>
      </c>
      <c r="Q8" s="13">
        <v>47.094662</v>
      </c>
      <c r="R8" s="1"/>
      <c r="S8" s="13">
        <v>2010</v>
      </c>
      <c r="T8" s="13">
        <v>6.5347759999999999</v>
      </c>
      <c r="U8" s="13">
        <v>28.377124999999999</v>
      </c>
      <c r="V8" s="13">
        <v>26.392581</v>
      </c>
      <c r="W8" s="13">
        <v>22.819165000000002</v>
      </c>
      <c r="X8" s="13">
        <v>11.233385</v>
      </c>
      <c r="Y8" s="13">
        <v>4.6429679999999998</v>
      </c>
      <c r="Z8" s="1"/>
      <c r="AA8" s="13">
        <v>2010</v>
      </c>
      <c r="AB8" s="13">
        <v>48.612056000000003</v>
      </c>
      <c r="AC8" s="13">
        <v>24.006181999999999</v>
      </c>
      <c r="AD8" s="13">
        <v>24.642968</v>
      </c>
      <c r="AE8" s="13">
        <v>2.738794</v>
      </c>
      <c r="AF8" s="1"/>
      <c r="AG8" s="13">
        <v>2010</v>
      </c>
      <c r="AH8" s="13">
        <v>52.989181000000002</v>
      </c>
      <c r="AI8" s="13">
        <v>47.010818999999998</v>
      </c>
      <c r="AJ8" s="1"/>
      <c r="AK8" s="13">
        <v>2010</v>
      </c>
      <c r="AL8" s="13">
        <v>6.2673819999999996</v>
      </c>
      <c r="AM8" s="13">
        <v>25.981501999999999</v>
      </c>
      <c r="AN8" s="13">
        <v>27.333290000000002</v>
      </c>
      <c r="AO8" s="13">
        <v>22.456503000000001</v>
      </c>
      <c r="AP8" s="13">
        <v>11.946187</v>
      </c>
      <c r="AQ8" s="13">
        <v>6.0151349999999999</v>
      </c>
      <c r="AR8" s="1"/>
      <c r="AS8" s="13">
        <v>2010</v>
      </c>
      <c r="AT8" s="13">
        <v>54.310847000000003</v>
      </c>
      <c r="AU8" s="13">
        <v>27.501455</v>
      </c>
      <c r="AV8" s="13">
        <v>16.855312999999999</v>
      </c>
      <c r="AW8" s="13">
        <v>1.3323849999999999</v>
      </c>
      <c r="AX8" s="1"/>
      <c r="AY8" s="13">
        <v>2010</v>
      </c>
      <c r="AZ8" s="13">
        <v>39.809843999999998</v>
      </c>
      <c r="BA8" s="13">
        <v>60.190156000000002</v>
      </c>
      <c r="BB8" s="1"/>
      <c r="BC8" s="13">
        <v>2010</v>
      </c>
      <c r="BD8" s="13">
        <v>7.1232879999999996</v>
      </c>
      <c r="BE8" s="13">
        <v>26.501837999999999</v>
      </c>
      <c r="BF8" s="13">
        <v>24.76445</v>
      </c>
      <c r="BG8" s="13">
        <v>22.552623000000001</v>
      </c>
      <c r="BH8" s="13">
        <v>13.083862</v>
      </c>
      <c r="BI8" s="13">
        <v>5.9739389999999997</v>
      </c>
      <c r="BJ8" s="1"/>
      <c r="BK8" s="13">
        <v>2010</v>
      </c>
      <c r="BL8" s="13">
        <v>54.467089999999999</v>
      </c>
      <c r="BM8" s="13">
        <v>28.085533000000002</v>
      </c>
      <c r="BN8" s="13">
        <v>16.197794999999999</v>
      </c>
      <c r="BO8" s="13">
        <v>1.249582</v>
      </c>
      <c r="BP8" s="1"/>
      <c r="BQ8" s="13">
        <v>2010</v>
      </c>
      <c r="BR8" s="13">
        <v>42.753090999999998</v>
      </c>
      <c r="BS8" s="13">
        <v>57.246909000000002</v>
      </c>
      <c r="BT8" s="1"/>
      <c r="BU8" s="13">
        <v>2010</v>
      </c>
      <c r="BV8" s="13">
        <v>7.1529189999999998</v>
      </c>
      <c r="BW8" s="13">
        <v>30.247299999999999</v>
      </c>
      <c r="BX8" s="13">
        <v>25.755203999999999</v>
      </c>
      <c r="BY8" s="13">
        <v>22.405697</v>
      </c>
      <c r="BZ8" s="13">
        <v>10.658944999999999</v>
      </c>
      <c r="CA8" s="13">
        <v>3.7799339999999999</v>
      </c>
      <c r="CB8" s="1"/>
      <c r="CC8" s="13">
        <v>2010</v>
      </c>
      <c r="CD8" s="13">
        <v>57.254655999999997</v>
      </c>
      <c r="CE8" s="13">
        <v>27.046486000000002</v>
      </c>
      <c r="CF8" s="13">
        <v>14.509313000000001</v>
      </c>
      <c r="CG8" s="13">
        <v>1.1895450000000001</v>
      </c>
      <c r="CH8" s="1"/>
      <c r="CI8" s="13">
        <v>2010</v>
      </c>
      <c r="CJ8" s="13">
        <v>47.558303000000002</v>
      </c>
      <c r="CK8" s="13">
        <v>52.441696999999998</v>
      </c>
    </row>
    <row r="9" spans="1:89" ht="15.75" x14ac:dyDescent="0.25">
      <c r="A9" s="13">
        <v>2011</v>
      </c>
      <c r="B9" s="13">
        <v>4.5823669999999996</v>
      </c>
      <c r="C9" s="13">
        <v>22.998840000000001</v>
      </c>
      <c r="D9" s="13">
        <v>26.769141999999999</v>
      </c>
      <c r="E9" s="13">
        <v>23.337199999999999</v>
      </c>
      <c r="F9" s="13">
        <v>15.322892</v>
      </c>
      <c r="G9" s="13">
        <v>6.9895589999999999</v>
      </c>
      <c r="H9" s="1"/>
      <c r="I9" s="13">
        <v>2011</v>
      </c>
      <c r="J9" s="13">
        <v>48.530549000000001</v>
      </c>
      <c r="K9" s="13">
        <v>30.191414999999999</v>
      </c>
      <c r="L9" s="13">
        <v>19.209202999999999</v>
      </c>
      <c r="M9" s="13">
        <v>2.068832</v>
      </c>
      <c r="N9" s="1"/>
      <c r="O9" s="13">
        <v>2011</v>
      </c>
      <c r="P9" s="13">
        <v>54.940061999999998</v>
      </c>
      <c r="Q9" s="13">
        <v>45.059938000000002</v>
      </c>
      <c r="R9" s="1"/>
      <c r="S9" s="13">
        <v>2011</v>
      </c>
      <c r="T9" s="13">
        <v>6.1480629999999996</v>
      </c>
      <c r="U9" s="13">
        <v>27.643986000000002</v>
      </c>
      <c r="V9" s="13">
        <v>26.898572999999999</v>
      </c>
      <c r="W9" s="13">
        <v>22.833843000000002</v>
      </c>
      <c r="X9" s="13">
        <v>11.697248</v>
      </c>
      <c r="Y9" s="13">
        <v>4.7782869999999997</v>
      </c>
      <c r="Z9" s="1"/>
      <c r="AA9" s="13">
        <v>2011</v>
      </c>
      <c r="AB9" s="13">
        <v>48.668450999999997</v>
      </c>
      <c r="AC9" s="13">
        <v>23.923293000000001</v>
      </c>
      <c r="AD9" s="13">
        <v>24.713303</v>
      </c>
      <c r="AE9" s="13">
        <v>2.6949540000000001</v>
      </c>
      <c r="AF9" s="1"/>
      <c r="AG9" s="13">
        <v>2011</v>
      </c>
      <c r="AH9" s="13">
        <v>53.472222000000002</v>
      </c>
      <c r="AI9" s="13">
        <v>46.527777999999998</v>
      </c>
      <c r="AJ9" s="1"/>
      <c r="AK9" s="13">
        <v>2011</v>
      </c>
      <c r="AL9" s="13">
        <v>6.4809989999999997</v>
      </c>
      <c r="AM9" s="13">
        <v>25.891463000000002</v>
      </c>
      <c r="AN9" s="13">
        <v>25.930505</v>
      </c>
      <c r="AO9" s="13">
        <v>22.768090000000001</v>
      </c>
      <c r="AP9" s="13">
        <v>12.799322999999999</v>
      </c>
      <c r="AQ9" s="13">
        <v>6.1296200000000001</v>
      </c>
      <c r="AR9" s="1"/>
      <c r="AS9" s="13">
        <v>2011</v>
      </c>
      <c r="AT9" s="13">
        <v>55.121031000000002</v>
      </c>
      <c r="AU9" s="13">
        <v>27.661373999999999</v>
      </c>
      <c r="AV9" s="13">
        <v>15.786049</v>
      </c>
      <c r="AW9" s="13">
        <v>1.431546</v>
      </c>
      <c r="AX9" s="1"/>
      <c r="AY9" s="13">
        <v>2011</v>
      </c>
      <c r="AZ9" s="13">
        <v>38.508589000000001</v>
      </c>
      <c r="BA9" s="13">
        <v>61.491410999999999</v>
      </c>
      <c r="BB9" s="1"/>
      <c r="BC9" s="13">
        <v>2011</v>
      </c>
      <c r="BD9" s="13">
        <v>7.5321809999999996</v>
      </c>
      <c r="BE9" s="13">
        <v>25.75947</v>
      </c>
      <c r="BF9" s="13">
        <v>25.178374000000002</v>
      </c>
      <c r="BG9" s="13">
        <v>22.751010999999998</v>
      </c>
      <c r="BH9" s="13">
        <v>13.284295999999999</v>
      </c>
      <c r="BI9" s="13">
        <v>5.4946669999999997</v>
      </c>
      <c r="BJ9" s="1"/>
      <c r="BK9" s="13">
        <v>2011</v>
      </c>
      <c r="BL9" s="13">
        <v>57.168075999999999</v>
      </c>
      <c r="BM9" s="13">
        <v>27.627804000000001</v>
      </c>
      <c r="BN9" s="13">
        <v>14.100771999999999</v>
      </c>
      <c r="BO9" s="13">
        <v>1.1033470000000001</v>
      </c>
      <c r="BP9" s="1"/>
      <c r="BQ9" s="13">
        <v>2011</v>
      </c>
      <c r="BR9" s="13">
        <v>43.265906999999999</v>
      </c>
      <c r="BS9" s="13">
        <v>56.734093000000001</v>
      </c>
      <c r="BT9" s="1"/>
      <c r="BU9" s="13">
        <v>2011</v>
      </c>
      <c r="BV9" s="13">
        <v>7.3101779999999996</v>
      </c>
      <c r="BW9" s="13">
        <v>31.252019000000001</v>
      </c>
      <c r="BX9" s="13">
        <v>24.386106999999999</v>
      </c>
      <c r="BY9" s="13">
        <v>22.358643000000001</v>
      </c>
      <c r="BZ9" s="13">
        <v>10.767367</v>
      </c>
      <c r="CA9" s="13">
        <v>3.9256869999999999</v>
      </c>
      <c r="CB9" s="1"/>
      <c r="CC9" s="13">
        <v>2011</v>
      </c>
      <c r="CD9" s="13">
        <v>57.261712000000003</v>
      </c>
      <c r="CE9" s="13">
        <v>27.366720999999998</v>
      </c>
      <c r="CF9" s="13">
        <v>14.289175999999999</v>
      </c>
      <c r="CG9" s="13">
        <v>1.0823910000000001</v>
      </c>
      <c r="CH9" s="1"/>
      <c r="CI9" s="13">
        <v>2011</v>
      </c>
      <c r="CJ9" s="13">
        <v>48.578352000000002</v>
      </c>
      <c r="CK9" s="13">
        <v>51.421647999999998</v>
      </c>
    </row>
    <row r="10" spans="1:89" ht="15.75" x14ac:dyDescent="0.25">
      <c r="A10" s="13">
        <v>2012</v>
      </c>
      <c r="B10" s="13">
        <v>4.5313410000000003</v>
      </c>
      <c r="C10" s="13">
        <v>22.482049</v>
      </c>
      <c r="D10" s="13">
        <v>24.170386000000001</v>
      </c>
      <c r="E10" s="13">
        <v>24.383853999999999</v>
      </c>
      <c r="F10" s="13">
        <v>16.640792000000001</v>
      </c>
      <c r="G10" s="13">
        <v>7.7915780000000003</v>
      </c>
      <c r="H10" s="1"/>
      <c r="I10" s="13">
        <v>2012</v>
      </c>
      <c r="J10" s="13">
        <v>46.943528000000001</v>
      </c>
      <c r="K10" s="13">
        <v>31.60295</v>
      </c>
      <c r="L10" s="13">
        <v>19.280031000000001</v>
      </c>
      <c r="M10" s="13">
        <v>2.1734909999999998</v>
      </c>
      <c r="N10" s="1"/>
      <c r="O10" s="13">
        <v>2012</v>
      </c>
      <c r="P10" s="13">
        <v>55.802444999999999</v>
      </c>
      <c r="Q10" s="13">
        <v>44.197555000000001</v>
      </c>
      <c r="R10" s="1"/>
      <c r="S10" s="13">
        <v>2012</v>
      </c>
      <c r="T10" s="13">
        <v>5.6319369999999997</v>
      </c>
      <c r="U10" s="13">
        <v>27.358729</v>
      </c>
      <c r="V10" s="13">
        <v>27.377649000000002</v>
      </c>
      <c r="W10" s="13">
        <v>22.723258999999999</v>
      </c>
      <c r="X10" s="13">
        <v>11.957618999999999</v>
      </c>
      <c r="Y10" s="13">
        <v>4.9508070000000002</v>
      </c>
      <c r="Z10" s="1"/>
      <c r="AA10" s="13">
        <v>2012</v>
      </c>
      <c r="AB10" s="13">
        <v>46.865540000000003</v>
      </c>
      <c r="AC10" s="13">
        <v>24.205348000000001</v>
      </c>
      <c r="AD10" s="13">
        <v>26.128910000000001</v>
      </c>
      <c r="AE10" s="13">
        <v>2.8002020000000001</v>
      </c>
      <c r="AF10" s="1"/>
      <c r="AG10" s="13">
        <v>2012</v>
      </c>
      <c r="AH10" s="13">
        <v>53.481332000000002</v>
      </c>
      <c r="AI10" s="13">
        <v>46.518667999999998</v>
      </c>
      <c r="AJ10" s="1"/>
      <c r="AK10" s="13">
        <v>2012</v>
      </c>
      <c r="AL10" s="13">
        <v>6.538462</v>
      </c>
      <c r="AM10" s="13">
        <v>26.378205000000001</v>
      </c>
      <c r="AN10" s="13">
        <v>24.378205000000001</v>
      </c>
      <c r="AO10" s="13">
        <v>22.410256</v>
      </c>
      <c r="AP10" s="13">
        <v>13.397436000000001</v>
      </c>
      <c r="AQ10" s="13">
        <v>6.8974359999999999</v>
      </c>
      <c r="AR10" s="1"/>
      <c r="AS10" s="13">
        <v>2012</v>
      </c>
      <c r="AT10" s="13">
        <v>54.217948999999997</v>
      </c>
      <c r="AU10" s="13">
        <v>28.570512999999998</v>
      </c>
      <c r="AV10" s="13">
        <v>15.948718</v>
      </c>
      <c r="AW10" s="13">
        <v>1.262821</v>
      </c>
      <c r="AX10" s="1"/>
      <c r="AY10" s="13">
        <v>2012</v>
      </c>
      <c r="AZ10" s="13">
        <v>38.371794999999999</v>
      </c>
      <c r="BA10" s="13">
        <v>61.628205000000001</v>
      </c>
      <c r="BB10" s="1"/>
      <c r="BC10" s="13">
        <v>2012</v>
      </c>
      <c r="BD10" s="13">
        <v>7.0630240000000004</v>
      </c>
      <c r="BE10" s="13">
        <v>25.628686999999999</v>
      </c>
      <c r="BF10" s="13">
        <v>24.464452000000001</v>
      </c>
      <c r="BG10" s="13">
        <v>23.207079</v>
      </c>
      <c r="BH10" s="13">
        <v>13.807824</v>
      </c>
      <c r="BI10" s="13">
        <v>5.8289350000000004</v>
      </c>
      <c r="BJ10" s="1"/>
      <c r="BK10" s="13">
        <v>2012</v>
      </c>
      <c r="BL10" s="13">
        <v>58.227258999999997</v>
      </c>
      <c r="BM10" s="13">
        <v>26.552313000000002</v>
      </c>
      <c r="BN10" s="13">
        <v>14.133808999999999</v>
      </c>
      <c r="BO10" s="13">
        <v>1.086619</v>
      </c>
      <c r="BP10" s="1"/>
      <c r="BQ10" s="13">
        <v>2012</v>
      </c>
      <c r="BR10" s="13">
        <v>45.117975999999999</v>
      </c>
      <c r="BS10" s="13">
        <v>54.882024000000001</v>
      </c>
      <c r="BT10" s="1"/>
      <c r="BU10" s="13">
        <v>2012</v>
      </c>
      <c r="BV10" s="13">
        <v>7.0339049999999999</v>
      </c>
      <c r="BW10" s="13">
        <v>29.858532</v>
      </c>
      <c r="BX10" s="13">
        <v>25.053346999999999</v>
      </c>
      <c r="BY10" s="13">
        <v>23.662372999999999</v>
      </c>
      <c r="BZ10" s="13">
        <v>10.795859</v>
      </c>
      <c r="CA10" s="13">
        <v>3.5959850000000002</v>
      </c>
      <c r="CB10" s="1"/>
      <c r="CC10" s="13">
        <v>2012</v>
      </c>
      <c r="CD10" s="13">
        <v>55.970916000000003</v>
      </c>
      <c r="CE10" s="13">
        <v>27.795780000000001</v>
      </c>
      <c r="CF10" s="13">
        <v>14.905556000000001</v>
      </c>
      <c r="CG10" s="13">
        <v>1.3277479999999999</v>
      </c>
      <c r="CH10" s="1"/>
      <c r="CI10" s="13">
        <v>2012</v>
      </c>
      <c r="CJ10" s="13">
        <v>49.395400000000002</v>
      </c>
      <c r="CK10" s="13">
        <v>50.604599999999998</v>
      </c>
    </row>
    <row r="11" spans="1:89" ht="15.75" x14ac:dyDescent="0.25">
      <c r="A11" s="13">
        <v>2013</v>
      </c>
      <c r="B11" s="13">
        <v>4.386056</v>
      </c>
      <c r="C11" s="13">
        <v>23.057825999999999</v>
      </c>
      <c r="D11" s="13">
        <v>24.485363</v>
      </c>
      <c r="E11" s="13">
        <v>23.564705</v>
      </c>
      <c r="F11" s="13">
        <v>16.147718999999999</v>
      </c>
      <c r="G11" s="13">
        <v>8.3583320000000008</v>
      </c>
      <c r="H11" s="1"/>
      <c r="I11" s="13">
        <v>2013</v>
      </c>
      <c r="J11" s="13">
        <v>47.605255</v>
      </c>
      <c r="K11" s="13">
        <v>30.195509999999999</v>
      </c>
      <c r="L11" s="13">
        <v>19.871728999999998</v>
      </c>
      <c r="M11" s="13">
        <v>2.3275060000000001</v>
      </c>
      <c r="N11" s="1"/>
      <c r="O11" s="13">
        <v>2013</v>
      </c>
      <c r="P11" s="13">
        <v>57.960070000000002</v>
      </c>
      <c r="Q11" s="13">
        <v>42.039929999999998</v>
      </c>
      <c r="R11" s="1"/>
      <c r="S11" s="13">
        <v>2013</v>
      </c>
      <c r="T11" s="13">
        <v>5.5530499999999998</v>
      </c>
      <c r="U11" s="13">
        <v>26.670102</v>
      </c>
      <c r="V11" s="13">
        <v>27.133929999999999</v>
      </c>
      <c r="W11" s="13">
        <v>22.431231</v>
      </c>
      <c r="X11" s="13">
        <v>13.019391000000001</v>
      </c>
      <c r="Y11" s="13">
        <v>5.1922949999999997</v>
      </c>
      <c r="Z11" s="1"/>
      <c r="AA11" s="13">
        <v>2013</v>
      </c>
      <c r="AB11" s="13">
        <v>47.452168</v>
      </c>
      <c r="AC11" s="13">
        <v>25.033821</v>
      </c>
      <c r="AD11" s="13">
        <v>24.653739999999999</v>
      </c>
      <c r="AE11" s="13">
        <v>2.8602720000000001</v>
      </c>
      <c r="AF11" s="1"/>
      <c r="AG11" s="13">
        <v>2013</v>
      </c>
      <c r="AH11" s="13">
        <v>55.582039999999999</v>
      </c>
      <c r="AI11" s="13">
        <v>44.417960000000001</v>
      </c>
      <c r="AJ11" s="1"/>
      <c r="AK11" s="13">
        <v>2013</v>
      </c>
      <c r="AL11" s="13">
        <v>6.3125429999999998</v>
      </c>
      <c r="AM11" s="13">
        <v>26.345269999999999</v>
      </c>
      <c r="AN11" s="13">
        <v>25.508213000000001</v>
      </c>
      <c r="AO11" s="13">
        <v>22.531310999999999</v>
      </c>
      <c r="AP11" s="13">
        <v>13.506199000000001</v>
      </c>
      <c r="AQ11" s="13">
        <v>5.7964630000000001</v>
      </c>
      <c r="AR11" s="1"/>
      <c r="AS11" s="13">
        <v>2013</v>
      </c>
      <c r="AT11" s="13">
        <v>53.401724000000002</v>
      </c>
      <c r="AU11" s="13">
        <v>28.824973</v>
      </c>
      <c r="AV11" s="13">
        <v>16.39499</v>
      </c>
      <c r="AW11" s="13">
        <v>1.378312</v>
      </c>
      <c r="AX11" s="1"/>
      <c r="AY11" s="13">
        <v>2013</v>
      </c>
      <c r="AZ11" s="13">
        <v>36.698345000000003</v>
      </c>
      <c r="BA11" s="13">
        <v>63.301654999999997</v>
      </c>
      <c r="BB11" s="1"/>
      <c r="BC11" s="13">
        <v>2013</v>
      </c>
      <c r="BD11" s="13">
        <v>6.8987049999999996</v>
      </c>
      <c r="BE11" s="13">
        <v>25.230217</v>
      </c>
      <c r="BF11" s="13">
        <v>25.292649000000001</v>
      </c>
      <c r="BG11" s="13">
        <v>23.716248</v>
      </c>
      <c r="BH11" s="13">
        <v>13.063836</v>
      </c>
      <c r="BI11" s="13">
        <v>5.7983460000000004</v>
      </c>
      <c r="BJ11" s="1"/>
      <c r="BK11" s="13">
        <v>2013</v>
      </c>
      <c r="BL11" s="13">
        <v>59.224285999999999</v>
      </c>
      <c r="BM11" s="13">
        <v>27.032933</v>
      </c>
      <c r="BN11" s="13">
        <v>12.650226</v>
      </c>
      <c r="BO11" s="13">
        <v>1.0925549999999999</v>
      </c>
      <c r="BP11" s="1"/>
      <c r="BQ11" s="13">
        <v>2013</v>
      </c>
      <c r="BR11" s="13">
        <v>41.556111000000001</v>
      </c>
      <c r="BS11" s="13">
        <v>58.443888999999999</v>
      </c>
      <c r="BT11" s="1"/>
      <c r="BU11" s="13">
        <v>2013</v>
      </c>
      <c r="BV11" s="13">
        <v>6.6049879999999996</v>
      </c>
      <c r="BW11" s="13">
        <v>28.576025999999999</v>
      </c>
      <c r="BX11" s="13">
        <v>27.457763</v>
      </c>
      <c r="BY11" s="13">
        <v>22.936444000000002</v>
      </c>
      <c r="BZ11" s="13">
        <v>10.539019</v>
      </c>
      <c r="CA11" s="13">
        <v>3.8857599999999999</v>
      </c>
      <c r="CB11" s="1"/>
      <c r="CC11" s="13">
        <v>2013</v>
      </c>
      <c r="CD11" s="13">
        <v>55.237329000000003</v>
      </c>
      <c r="CE11" s="13">
        <v>28.189862999999999</v>
      </c>
      <c r="CF11" s="13">
        <v>15.333869999999999</v>
      </c>
      <c r="CG11" s="13">
        <v>1.2389380000000001</v>
      </c>
      <c r="CH11" s="1"/>
      <c r="CI11" s="13">
        <v>2013</v>
      </c>
      <c r="CJ11" s="13">
        <v>46.500402000000001</v>
      </c>
      <c r="CK11" s="13">
        <v>53.499597999999999</v>
      </c>
    </row>
    <row r="12" spans="1:89" ht="15.75" x14ac:dyDescent="0.25">
      <c r="A12" s="13">
        <v>2014</v>
      </c>
      <c r="B12" s="13">
        <v>4.4641840000000004</v>
      </c>
      <c r="C12" s="13">
        <v>21.307368</v>
      </c>
      <c r="D12" s="13">
        <v>25.509623000000001</v>
      </c>
      <c r="E12" s="13">
        <v>23.960825</v>
      </c>
      <c r="F12" s="13">
        <v>16.137114</v>
      </c>
      <c r="G12" s="13">
        <v>8.6208860000000005</v>
      </c>
      <c r="H12" s="1"/>
      <c r="I12" s="13">
        <v>2014</v>
      </c>
      <c r="J12" s="13">
        <v>50.256234999999997</v>
      </c>
      <c r="K12" s="13">
        <v>29.689101000000001</v>
      </c>
      <c r="L12" s="13">
        <v>18.084500999999999</v>
      </c>
      <c r="M12" s="13">
        <v>1.9701630000000001</v>
      </c>
      <c r="N12" s="1"/>
      <c r="O12" s="13">
        <v>2014</v>
      </c>
      <c r="P12" s="13">
        <v>59.161827000000002</v>
      </c>
      <c r="Q12" s="13">
        <v>40.838172999999998</v>
      </c>
      <c r="R12" s="1"/>
      <c r="S12" s="13">
        <v>2014</v>
      </c>
      <c r="T12" s="13">
        <v>5.0387849999999998</v>
      </c>
      <c r="U12" s="13">
        <v>25.42859</v>
      </c>
      <c r="V12" s="13">
        <v>27.638355000000001</v>
      </c>
      <c r="W12" s="13">
        <v>23.473046</v>
      </c>
      <c r="X12" s="13">
        <v>12.945701</v>
      </c>
      <c r="Y12" s="13">
        <v>5.4755229999999999</v>
      </c>
      <c r="Z12" s="1"/>
      <c r="AA12" s="13">
        <v>2014</v>
      </c>
      <c r="AB12" s="13">
        <v>47.663125000000001</v>
      </c>
      <c r="AC12" s="13">
        <v>24.581188000000001</v>
      </c>
      <c r="AD12" s="13">
        <v>25.070074000000002</v>
      </c>
      <c r="AE12" s="13">
        <v>2.6856140000000002</v>
      </c>
      <c r="AF12" s="1"/>
      <c r="AG12" s="13">
        <v>2014</v>
      </c>
      <c r="AH12" s="13">
        <v>55.478782000000002</v>
      </c>
      <c r="AI12" s="13">
        <v>44.521217999999998</v>
      </c>
      <c r="AJ12" s="1"/>
      <c r="AK12" s="13">
        <v>2014</v>
      </c>
      <c r="AL12" s="13">
        <v>6.1241919999999999</v>
      </c>
      <c r="AM12" s="13">
        <v>25.765523999999999</v>
      </c>
      <c r="AN12" s="13">
        <v>25.972916999999999</v>
      </c>
      <c r="AO12" s="13">
        <v>23.801390999999999</v>
      </c>
      <c r="AP12" s="13">
        <v>12.955959</v>
      </c>
      <c r="AQ12" s="13">
        <v>5.3800169999999996</v>
      </c>
      <c r="AR12" s="1"/>
      <c r="AS12" s="13">
        <v>2014</v>
      </c>
      <c r="AT12" s="13">
        <v>53.818469999999998</v>
      </c>
      <c r="AU12" s="13">
        <v>27.272172999999999</v>
      </c>
      <c r="AV12" s="13">
        <v>17.561302999999999</v>
      </c>
      <c r="AW12" s="13">
        <v>1.3480540000000001</v>
      </c>
      <c r="AX12" s="1"/>
      <c r="AY12" s="13">
        <v>2014</v>
      </c>
      <c r="AZ12" s="13">
        <v>33.249969999999998</v>
      </c>
      <c r="BA12" s="13">
        <v>66.750029999999995</v>
      </c>
      <c r="BB12" s="1"/>
      <c r="BC12" s="13">
        <v>2014</v>
      </c>
      <c r="BD12" s="13">
        <v>6.8528719999999996</v>
      </c>
      <c r="BE12" s="13">
        <v>24.602675000000001</v>
      </c>
      <c r="BF12" s="13">
        <v>27.749803</v>
      </c>
      <c r="BG12" s="13">
        <v>23.595593999999998</v>
      </c>
      <c r="BH12" s="13">
        <v>12.092840000000001</v>
      </c>
      <c r="BI12" s="13">
        <v>5.1062159999999999</v>
      </c>
      <c r="BJ12" s="1"/>
      <c r="BK12" s="13">
        <v>2014</v>
      </c>
      <c r="BL12" s="13">
        <v>58.261212</v>
      </c>
      <c r="BM12" s="13">
        <v>28.025176999999999</v>
      </c>
      <c r="BN12" s="13">
        <v>12.895358</v>
      </c>
      <c r="BO12" s="13">
        <v>0.81825300000000001</v>
      </c>
      <c r="BP12" s="1"/>
      <c r="BQ12" s="13">
        <v>2014</v>
      </c>
      <c r="BR12" s="13">
        <v>39.763964999999999</v>
      </c>
      <c r="BS12" s="13">
        <v>60.236035000000001</v>
      </c>
      <c r="BT12" s="1"/>
      <c r="BU12" s="13">
        <v>2014</v>
      </c>
      <c r="BV12" s="13">
        <v>5.6873940000000003</v>
      </c>
      <c r="BW12" s="13">
        <v>29.490788999999999</v>
      </c>
      <c r="BX12" s="13">
        <v>28.300217</v>
      </c>
      <c r="BY12" s="13">
        <v>22.918510000000001</v>
      </c>
      <c r="BZ12" s="13">
        <v>9.9991959999999995</v>
      </c>
      <c r="CA12" s="13">
        <v>3.6038929999999998</v>
      </c>
      <c r="CB12" s="1"/>
      <c r="CC12" s="13">
        <v>2014</v>
      </c>
      <c r="CD12" s="13">
        <v>56.109726000000002</v>
      </c>
      <c r="CE12" s="13">
        <v>29.128791</v>
      </c>
      <c r="CF12" s="13">
        <v>13.908776</v>
      </c>
      <c r="CG12" s="13">
        <v>0.85270699999999999</v>
      </c>
      <c r="CH12" s="1"/>
      <c r="CI12" s="13">
        <v>2014</v>
      </c>
      <c r="CJ12" s="13">
        <v>44.437294000000001</v>
      </c>
      <c r="CK12" s="13">
        <v>55.562705999999999</v>
      </c>
    </row>
    <row r="13" spans="1:89" ht="15.75" x14ac:dyDescent="0.25">
      <c r="A13" s="13">
        <v>2015</v>
      </c>
      <c r="B13" s="13">
        <v>4.4386729999999996</v>
      </c>
      <c r="C13" s="13">
        <v>22.039901</v>
      </c>
      <c r="D13" s="13">
        <v>23.373864000000001</v>
      </c>
      <c r="E13" s="13">
        <v>23.208594000000002</v>
      </c>
      <c r="F13" s="13">
        <v>17.058198999999998</v>
      </c>
      <c r="G13" s="13">
        <v>9.8807700000000001</v>
      </c>
      <c r="H13" s="1"/>
      <c r="I13" s="13">
        <v>2015</v>
      </c>
      <c r="J13" s="13">
        <v>49.415652999999999</v>
      </c>
      <c r="K13" s="13">
        <v>29.087475000000001</v>
      </c>
      <c r="L13" s="13">
        <v>19.135874999999999</v>
      </c>
      <c r="M13" s="13">
        <v>2.3609960000000001</v>
      </c>
      <c r="N13" s="1"/>
      <c r="O13" s="13">
        <v>2015</v>
      </c>
      <c r="P13" s="13">
        <v>59.320033000000002</v>
      </c>
      <c r="Q13" s="13">
        <v>40.679966999999998</v>
      </c>
      <c r="R13" s="1"/>
      <c r="S13" s="13">
        <v>2015</v>
      </c>
      <c r="T13" s="13">
        <v>5.1947229999999998</v>
      </c>
      <c r="U13" s="13">
        <v>26.093543</v>
      </c>
      <c r="V13" s="13">
        <v>27.198132000000001</v>
      </c>
      <c r="W13" s="13">
        <v>23.007006000000001</v>
      </c>
      <c r="X13" s="13">
        <v>12.901597000000001</v>
      </c>
      <c r="Y13" s="13">
        <v>5.6049990000000003</v>
      </c>
      <c r="Z13" s="1"/>
      <c r="AA13" s="13">
        <v>2015</v>
      </c>
      <c r="AB13" s="13">
        <v>47.516252999999999</v>
      </c>
      <c r="AC13" s="13">
        <v>23.480401000000001</v>
      </c>
      <c r="AD13" s="13">
        <v>26.497506999999999</v>
      </c>
      <c r="AE13" s="13">
        <v>2.5058389999999999</v>
      </c>
      <c r="AF13" s="1"/>
      <c r="AG13" s="13">
        <v>2015</v>
      </c>
      <c r="AH13" s="13">
        <v>56.611753</v>
      </c>
      <c r="AI13" s="13">
        <v>43.388247</v>
      </c>
      <c r="AJ13" s="1"/>
      <c r="AK13" s="13">
        <v>2015</v>
      </c>
      <c r="AL13" s="13">
        <v>5.9869269999999997</v>
      </c>
      <c r="AM13" s="13">
        <v>25.639928999999999</v>
      </c>
      <c r="AN13" s="13">
        <v>25.878184000000001</v>
      </c>
      <c r="AO13" s="13">
        <v>23.507850000000001</v>
      </c>
      <c r="AP13" s="13">
        <v>13.36673</v>
      </c>
      <c r="AQ13" s="13">
        <v>5.6203799999999999</v>
      </c>
      <c r="AR13" s="1"/>
      <c r="AS13" s="13">
        <v>2015</v>
      </c>
      <c r="AT13" s="13">
        <v>52.232878999999997</v>
      </c>
      <c r="AU13" s="13">
        <v>27.350480000000001</v>
      </c>
      <c r="AV13" s="13">
        <v>18.987110000000001</v>
      </c>
      <c r="AW13" s="13">
        <v>1.4295310000000001</v>
      </c>
      <c r="AX13" s="1"/>
      <c r="AY13" s="13">
        <v>2015</v>
      </c>
      <c r="AZ13" s="13">
        <v>32.017839000000002</v>
      </c>
      <c r="BA13" s="13">
        <v>67.982161000000005</v>
      </c>
      <c r="BB13" s="1"/>
      <c r="BC13" s="13">
        <v>2015</v>
      </c>
      <c r="BD13" s="13">
        <v>6.7206109999999999</v>
      </c>
      <c r="BE13" s="13">
        <v>23.271146999999999</v>
      </c>
      <c r="BF13" s="13">
        <v>26.635199</v>
      </c>
      <c r="BG13" s="13">
        <v>23.705701999999999</v>
      </c>
      <c r="BH13" s="13">
        <v>13.733423</v>
      </c>
      <c r="BI13" s="13">
        <v>5.9339180000000002</v>
      </c>
      <c r="BJ13" s="1"/>
      <c r="BK13" s="13">
        <v>2015</v>
      </c>
      <c r="BL13" s="13">
        <v>58.687345000000001</v>
      </c>
      <c r="BM13" s="13">
        <v>27.496815999999999</v>
      </c>
      <c r="BN13" s="13">
        <v>13.01416</v>
      </c>
      <c r="BO13" s="13">
        <v>0.801678</v>
      </c>
      <c r="BP13" s="1"/>
      <c r="BQ13" s="13">
        <v>2015</v>
      </c>
      <c r="BR13" s="13">
        <v>40.256236999999999</v>
      </c>
      <c r="BS13" s="13">
        <v>59.743763000000001</v>
      </c>
      <c r="BT13" s="1"/>
      <c r="BU13" s="13">
        <v>2015</v>
      </c>
      <c r="BV13" s="13">
        <v>5.5160140000000002</v>
      </c>
      <c r="BW13" s="13">
        <v>28.995470999999998</v>
      </c>
      <c r="BX13" s="13">
        <v>27.588159000000001</v>
      </c>
      <c r="BY13" s="13">
        <v>23.188289000000001</v>
      </c>
      <c r="BZ13" s="13">
        <v>10.894532999999999</v>
      </c>
      <c r="CA13" s="13">
        <v>3.8175349999999999</v>
      </c>
      <c r="CB13" s="1"/>
      <c r="CC13" s="13">
        <v>2015</v>
      </c>
      <c r="CD13" s="13">
        <v>54.100614999999998</v>
      </c>
      <c r="CE13" s="13">
        <v>29.723389999999998</v>
      </c>
      <c r="CF13" s="13">
        <v>15.286315</v>
      </c>
      <c r="CG13" s="13">
        <v>0.88968000000000003</v>
      </c>
      <c r="CH13" s="1"/>
      <c r="CI13" s="13">
        <v>2015</v>
      </c>
      <c r="CJ13" s="13">
        <v>44.022970000000001</v>
      </c>
      <c r="CK13" s="13">
        <v>55.977029999999999</v>
      </c>
    </row>
    <row r="14" spans="1:89" ht="15.75" x14ac:dyDescent="0.25">
      <c r="A14" s="13">
        <v>2016</v>
      </c>
      <c r="B14" s="13">
        <v>3.9937450000000001</v>
      </c>
      <c r="C14" s="13">
        <v>22.687356999999999</v>
      </c>
      <c r="D14" s="13">
        <v>23.37303</v>
      </c>
      <c r="E14" s="13">
        <v>23.252737</v>
      </c>
      <c r="F14" s="13">
        <v>17.021533000000002</v>
      </c>
      <c r="G14" s="13">
        <v>9.6715990000000005</v>
      </c>
      <c r="H14" s="1"/>
      <c r="I14" s="13">
        <v>2016</v>
      </c>
      <c r="J14" s="13">
        <v>46.325032999999998</v>
      </c>
      <c r="K14" s="13">
        <v>30.879346000000002</v>
      </c>
      <c r="L14" s="13">
        <v>20.365691999999999</v>
      </c>
      <c r="M14" s="13">
        <v>2.429929</v>
      </c>
      <c r="N14" s="1"/>
      <c r="O14" s="13">
        <v>2016</v>
      </c>
      <c r="P14" s="13">
        <v>57.295802000000002</v>
      </c>
      <c r="Q14" s="13">
        <v>42.704197999999998</v>
      </c>
      <c r="R14" s="1"/>
      <c r="S14" s="13">
        <v>2016</v>
      </c>
      <c r="T14" s="13">
        <v>4.8764630000000002</v>
      </c>
      <c r="U14" s="13">
        <v>26.319896</v>
      </c>
      <c r="V14" s="13">
        <v>26.378413999999999</v>
      </c>
      <c r="W14" s="13">
        <v>23.634589999999999</v>
      </c>
      <c r="X14" s="13">
        <v>13.348504999999999</v>
      </c>
      <c r="Y14" s="13">
        <v>5.4421330000000001</v>
      </c>
      <c r="Z14" s="1"/>
      <c r="AA14" s="13">
        <v>2016</v>
      </c>
      <c r="AB14" s="13">
        <v>48.036411000000001</v>
      </c>
      <c r="AC14" s="13">
        <v>24.154745999999999</v>
      </c>
      <c r="AD14" s="13">
        <v>24.856957000000001</v>
      </c>
      <c r="AE14" s="13">
        <v>2.951886</v>
      </c>
      <c r="AF14" s="1"/>
      <c r="AG14" s="13">
        <v>2016</v>
      </c>
      <c r="AH14" s="13">
        <v>57.288687000000003</v>
      </c>
      <c r="AI14" s="13">
        <v>42.711312999999997</v>
      </c>
      <c r="AJ14" s="1"/>
      <c r="AK14" s="13">
        <v>2016</v>
      </c>
      <c r="AL14" s="13">
        <v>5.9449430000000003</v>
      </c>
      <c r="AM14" s="13">
        <v>24.868542999999999</v>
      </c>
      <c r="AN14" s="13">
        <v>26.142900999999998</v>
      </c>
      <c r="AO14" s="13">
        <v>23.235385000000001</v>
      </c>
      <c r="AP14" s="13">
        <v>14.085988</v>
      </c>
      <c r="AQ14" s="13">
        <v>5.7222390000000001</v>
      </c>
      <c r="AR14" s="1"/>
      <c r="AS14" s="13">
        <v>2016</v>
      </c>
      <c r="AT14" s="13">
        <v>51.617693000000003</v>
      </c>
      <c r="AU14" s="13">
        <v>28.097742</v>
      </c>
      <c r="AV14" s="13">
        <v>18.954530999999999</v>
      </c>
      <c r="AW14" s="13">
        <v>1.3300339999999999</v>
      </c>
      <c r="AX14" s="1"/>
      <c r="AY14" s="13">
        <v>2016</v>
      </c>
      <c r="AZ14" s="13">
        <v>33.096195000000002</v>
      </c>
      <c r="BA14" s="13">
        <v>66.903805000000006</v>
      </c>
      <c r="BB14" s="1"/>
      <c r="BC14" s="13">
        <v>2016</v>
      </c>
      <c r="BD14" s="13">
        <v>6.9403860000000002</v>
      </c>
      <c r="BE14" s="13">
        <v>24.298656000000001</v>
      </c>
      <c r="BF14" s="13">
        <v>25.679427</v>
      </c>
      <c r="BG14" s="13">
        <v>23.385446999999999</v>
      </c>
      <c r="BH14" s="13">
        <v>13.815020000000001</v>
      </c>
      <c r="BI14" s="13">
        <v>5.8810640000000003</v>
      </c>
      <c r="BJ14" s="1"/>
      <c r="BK14" s="13">
        <v>2016</v>
      </c>
      <c r="BL14" s="13">
        <v>56.670076000000002</v>
      </c>
      <c r="BM14" s="13">
        <v>28.550554999999999</v>
      </c>
      <c r="BN14" s="13">
        <v>13.815020000000001</v>
      </c>
      <c r="BO14" s="13">
        <v>0.96434799999999998</v>
      </c>
      <c r="BP14" s="1"/>
      <c r="BQ14" s="13">
        <v>2016</v>
      </c>
      <c r="BR14" s="13">
        <v>39.793979999999998</v>
      </c>
      <c r="BS14" s="13">
        <v>60.206020000000002</v>
      </c>
      <c r="BT14" s="1"/>
      <c r="BU14" s="13">
        <v>2016</v>
      </c>
      <c r="BV14" s="13">
        <v>5.5800530000000004</v>
      </c>
      <c r="BW14" s="13">
        <v>29.239156999999999</v>
      </c>
      <c r="BX14" s="13">
        <v>27.427243000000001</v>
      </c>
      <c r="BY14" s="13">
        <v>21.502445000000002</v>
      </c>
      <c r="BZ14" s="13">
        <v>11.873647</v>
      </c>
      <c r="CA14" s="13">
        <v>4.3774550000000003</v>
      </c>
      <c r="CB14" s="1"/>
      <c r="CC14" s="13">
        <v>2016</v>
      </c>
      <c r="CD14" s="13">
        <v>53.459471999999998</v>
      </c>
      <c r="CE14" s="13">
        <v>28.645875</v>
      </c>
      <c r="CF14" s="13">
        <v>16.852401</v>
      </c>
      <c r="CG14" s="13">
        <v>1.042251</v>
      </c>
      <c r="CH14" s="1"/>
      <c r="CI14" s="13">
        <v>2016</v>
      </c>
      <c r="CJ14" s="13">
        <v>45.770865000000001</v>
      </c>
      <c r="CK14" s="13">
        <v>54.229134999999999</v>
      </c>
    </row>
    <row r="15" spans="1:89" ht="15.75" x14ac:dyDescent="0.25">
      <c r="A15" s="13">
        <v>2017</v>
      </c>
      <c r="B15" s="13">
        <v>3.4550839999999998</v>
      </c>
      <c r="C15" s="13">
        <v>22.384008000000001</v>
      </c>
      <c r="D15" s="13">
        <v>23.112043</v>
      </c>
      <c r="E15" s="13">
        <v>23.679663999999999</v>
      </c>
      <c r="F15" s="13">
        <v>17.287759000000001</v>
      </c>
      <c r="G15" s="13">
        <v>10.081441</v>
      </c>
      <c r="H15" s="1"/>
      <c r="I15" s="13">
        <v>2017</v>
      </c>
      <c r="J15" s="13">
        <v>44.792695000000002</v>
      </c>
      <c r="K15" s="13">
        <v>32.132280000000002</v>
      </c>
      <c r="L15" s="13">
        <v>20.841560000000001</v>
      </c>
      <c r="M15" s="13">
        <v>2.2334649999999998</v>
      </c>
      <c r="N15" s="1"/>
      <c r="O15" s="13">
        <v>2017</v>
      </c>
      <c r="P15" s="13">
        <v>57.391412000000003</v>
      </c>
      <c r="Q15" s="13">
        <v>42.608587999999997</v>
      </c>
      <c r="R15" s="1"/>
      <c r="S15" s="13">
        <v>2017</v>
      </c>
      <c r="T15" s="13">
        <v>4.8809760000000004</v>
      </c>
      <c r="U15" s="13">
        <v>25.885176999999999</v>
      </c>
      <c r="V15" s="13">
        <v>27.418817000000001</v>
      </c>
      <c r="W15" s="13">
        <v>22.857904999999999</v>
      </c>
      <c r="X15" s="13">
        <v>13.129293000000001</v>
      </c>
      <c r="Y15" s="13">
        <v>5.8278319999999999</v>
      </c>
      <c r="Z15" s="1"/>
      <c r="AA15" s="13">
        <v>2017</v>
      </c>
      <c r="AB15" s="13">
        <v>46.415950000000002</v>
      </c>
      <c r="AC15" s="13">
        <v>24.684937000000001</v>
      </c>
      <c r="AD15" s="13">
        <v>25.951857</v>
      </c>
      <c r="AE15" s="13">
        <v>2.9472559999999999</v>
      </c>
      <c r="AF15" s="1"/>
      <c r="AG15" s="13">
        <v>2017</v>
      </c>
      <c r="AH15" s="13">
        <v>58.044941999999999</v>
      </c>
      <c r="AI15" s="13">
        <v>41.955058000000001</v>
      </c>
      <c r="AJ15" s="1"/>
      <c r="AK15" s="13">
        <v>2017</v>
      </c>
      <c r="AL15" s="13">
        <v>5.821625</v>
      </c>
      <c r="AM15" s="13">
        <v>24.867805000000001</v>
      </c>
      <c r="AN15" s="13">
        <v>24.540464</v>
      </c>
      <c r="AO15" s="13">
        <v>23.941179000000002</v>
      </c>
      <c r="AP15" s="13">
        <v>14.302261</v>
      </c>
      <c r="AQ15" s="13">
        <v>6.5266659999999996</v>
      </c>
      <c r="AR15" s="1"/>
      <c r="AS15" s="13">
        <v>2017</v>
      </c>
      <c r="AT15" s="13">
        <v>51.785265000000003</v>
      </c>
      <c r="AU15" s="13">
        <v>28.745531</v>
      </c>
      <c r="AV15" s="13">
        <v>17.928187000000001</v>
      </c>
      <c r="AW15" s="13">
        <v>1.541018</v>
      </c>
      <c r="AX15" s="1"/>
      <c r="AY15" s="13">
        <v>2017</v>
      </c>
      <c r="AZ15" s="13">
        <v>35.498817000000003</v>
      </c>
      <c r="BA15" s="13">
        <v>64.501182999999997</v>
      </c>
      <c r="BB15" s="1"/>
      <c r="BC15" s="13">
        <v>2017</v>
      </c>
      <c r="BD15" s="13">
        <v>6.4920549999999997</v>
      </c>
      <c r="BE15" s="13">
        <v>25.313423</v>
      </c>
      <c r="BF15" s="13">
        <v>23.955921</v>
      </c>
      <c r="BG15" s="13">
        <v>22.973728000000001</v>
      </c>
      <c r="BH15" s="13">
        <v>14.700950000000001</v>
      </c>
      <c r="BI15" s="13">
        <v>6.5639219999999998</v>
      </c>
      <c r="BJ15" s="1"/>
      <c r="BK15" s="13">
        <v>2017</v>
      </c>
      <c r="BL15" s="13">
        <v>55.777369999999998</v>
      </c>
      <c r="BM15" s="13">
        <v>28.938752999999998</v>
      </c>
      <c r="BN15" s="13">
        <v>14.389523000000001</v>
      </c>
      <c r="BO15" s="13">
        <v>0.89435399999999998</v>
      </c>
      <c r="BP15" s="1"/>
      <c r="BQ15" s="13">
        <v>2017</v>
      </c>
      <c r="BR15" s="13">
        <v>39.415475999999998</v>
      </c>
      <c r="BS15" s="13">
        <v>60.584524000000002</v>
      </c>
      <c r="BT15" s="1"/>
      <c r="BU15" s="13">
        <v>2017</v>
      </c>
      <c r="BV15" s="13">
        <v>5.2998029999999998</v>
      </c>
      <c r="BW15" s="13">
        <v>28.464941</v>
      </c>
      <c r="BX15" s="13">
        <v>28.571428999999998</v>
      </c>
      <c r="BY15" s="13">
        <v>21.748034000000001</v>
      </c>
      <c r="BZ15" s="13">
        <v>11.623526</v>
      </c>
      <c r="CA15" s="13">
        <v>4.2922669999999998</v>
      </c>
      <c r="CB15" s="1"/>
      <c r="CC15" s="13">
        <v>2017</v>
      </c>
      <c r="CD15" s="13">
        <v>51.982306999999999</v>
      </c>
      <c r="CE15" s="13">
        <v>29.611730000000001</v>
      </c>
      <c r="CF15" s="13">
        <v>17.463958000000002</v>
      </c>
      <c r="CG15" s="13">
        <v>0.94200499999999998</v>
      </c>
      <c r="CH15" s="1"/>
      <c r="CI15" s="13">
        <v>2017</v>
      </c>
      <c r="CJ15" s="13">
        <v>46.633355000000002</v>
      </c>
      <c r="CK15" s="13">
        <v>53.366644999999998</v>
      </c>
    </row>
    <row r="16" spans="1:89" ht="15.75" x14ac:dyDescent="0.25">
      <c r="A16" s="13">
        <v>2018</v>
      </c>
      <c r="B16" s="13">
        <v>4.0670479999999998</v>
      </c>
      <c r="C16" s="13">
        <v>21.595634</v>
      </c>
      <c r="D16" s="13">
        <v>21.166840000000001</v>
      </c>
      <c r="E16" s="13">
        <v>24.584199999999999</v>
      </c>
      <c r="F16" s="13">
        <v>17.892412</v>
      </c>
      <c r="G16" s="13">
        <v>10.693866999999999</v>
      </c>
      <c r="H16" s="1"/>
      <c r="I16" s="13">
        <v>2018</v>
      </c>
      <c r="J16" s="13">
        <v>47.362265999999998</v>
      </c>
      <c r="K16" s="13">
        <v>31.237006000000001</v>
      </c>
      <c r="L16" s="13">
        <v>19.425675999999999</v>
      </c>
      <c r="M16" s="13">
        <v>1.975052</v>
      </c>
      <c r="N16" s="1"/>
      <c r="O16" s="13">
        <v>2018</v>
      </c>
      <c r="P16" s="13">
        <v>60.459978999999997</v>
      </c>
      <c r="Q16" s="13">
        <v>39.540021000000003</v>
      </c>
      <c r="R16" s="1"/>
      <c r="S16" s="13">
        <v>2018</v>
      </c>
      <c r="T16" s="13">
        <v>4.3214399999999999</v>
      </c>
      <c r="U16" s="13">
        <v>24.914971999999999</v>
      </c>
      <c r="V16" s="13">
        <v>27.489163000000001</v>
      </c>
      <c r="W16" s="13">
        <v>22.834278000000001</v>
      </c>
      <c r="X16" s="13">
        <v>14.464822</v>
      </c>
      <c r="Y16" s="13">
        <v>5.9753249999999998</v>
      </c>
      <c r="Z16" s="1"/>
      <c r="AA16" s="13">
        <v>2018</v>
      </c>
      <c r="AB16" s="13">
        <v>43.574525000000001</v>
      </c>
      <c r="AC16" s="13">
        <v>24.708235999999999</v>
      </c>
      <c r="AD16" s="13">
        <v>28.389462999999999</v>
      </c>
      <c r="AE16" s="13">
        <v>3.3277760000000001</v>
      </c>
      <c r="AF16" s="1"/>
      <c r="AG16" s="13">
        <v>2018</v>
      </c>
      <c r="AH16" s="13">
        <v>55.725242000000001</v>
      </c>
      <c r="AI16" s="13">
        <v>44.274757999999999</v>
      </c>
      <c r="AJ16" s="1"/>
      <c r="AK16" s="13">
        <v>2018</v>
      </c>
      <c r="AL16" s="13">
        <v>6.486802</v>
      </c>
      <c r="AM16" s="13">
        <v>24.905035999999999</v>
      </c>
      <c r="AN16" s="13">
        <v>22.913217</v>
      </c>
      <c r="AO16" s="13">
        <v>23.726502</v>
      </c>
      <c r="AP16" s="13">
        <v>15.199182</v>
      </c>
      <c r="AQ16" s="13">
        <v>6.7692610000000002</v>
      </c>
      <c r="AR16" s="1"/>
      <c r="AS16" s="13">
        <v>2018</v>
      </c>
      <c r="AT16" s="13">
        <v>51.003214</v>
      </c>
      <c r="AU16" s="13">
        <v>28.869192999999999</v>
      </c>
      <c r="AV16" s="13">
        <v>18.613032</v>
      </c>
      <c r="AW16" s="13">
        <v>1.514561</v>
      </c>
      <c r="AX16" s="1"/>
      <c r="AY16" s="13">
        <v>2018</v>
      </c>
      <c r="AZ16" s="13">
        <v>35.628712999999998</v>
      </c>
      <c r="BA16" s="13">
        <v>64.371286999999995</v>
      </c>
      <c r="BB16" s="1"/>
      <c r="BC16" s="13">
        <v>2018</v>
      </c>
      <c r="BD16" s="13">
        <v>6.7773820000000002</v>
      </c>
      <c r="BE16" s="13">
        <v>23.321470999999999</v>
      </c>
      <c r="BF16" s="13">
        <v>22.261763999999999</v>
      </c>
      <c r="BG16" s="13">
        <v>24.713325000000001</v>
      </c>
      <c r="BH16" s="13">
        <v>15.824437</v>
      </c>
      <c r="BI16" s="13">
        <v>7.1016209999999997</v>
      </c>
      <c r="BJ16" s="1"/>
      <c r="BK16" s="13">
        <v>2018</v>
      </c>
      <c r="BL16" s="13">
        <v>56.030051</v>
      </c>
      <c r="BM16" s="13">
        <v>29.260577000000001</v>
      </c>
      <c r="BN16" s="13">
        <v>13.792013000000001</v>
      </c>
      <c r="BO16" s="13">
        <v>0.91735900000000004</v>
      </c>
      <c r="BP16" s="1"/>
      <c r="BQ16" s="13">
        <v>2018</v>
      </c>
      <c r="BR16" s="13">
        <v>41.589561000000003</v>
      </c>
      <c r="BS16" s="13">
        <v>58.410438999999997</v>
      </c>
      <c r="BT16" s="1"/>
      <c r="BU16" s="13">
        <v>2018</v>
      </c>
      <c r="BV16" s="13">
        <v>5.1825000000000001</v>
      </c>
      <c r="BW16" s="13">
        <v>27.230782000000001</v>
      </c>
      <c r="BX16" s="13">
        <v>27.889923</v>
      </c>
      <c r="BY16" s="13">
        <v>21.463294000000001</v>
      </c>
      <c r="BZ16" s="13">
        <v>13.298178999999999</v>
      </c>
      <c r="CA16" s="13">
        <v>4.9353220000000002</v>
      </c>
      <c r="CB16" s="1"/>
      <c r="CC16" s="13">
        <v>2018</v>
      </c>
      <c r="CD16" s="13">
        <v>50.102991000000003</v>
      </c>
      <c r="CE16" s="13">
        <v>30.921973999999999</v>
      </c>
      <c r="CF16" s="13">
        <v>17.780341</v>
      </c>
      <c r="CG16" s="13">
        <v>1.1946939999999999</v>
      </c>
      <c r="CH16" s="1"/>
      <c r="CI16" s="13">
        <v>2018</v>
      </c>
      <c r="CJ16" s="13">
        <v>45.390129000000002</v>
      </c>
      <c r="CK16" s="13">
        <v>54.609870999999998</v>
      </c>
    </row>
    <row r="17" spans="1:89" ht="15.75" x14ac:dyDescent="0.25">
      <c r="A17" s="13">
        <v>2019</v>
      </c>
      <c r="B17" s="13">
        <v>3.9631449999999999</v>
      </c>
      <c r="C17" s="13">
        <v>21.330304000000002</v>
      </c>
      <c r="D17" s="13">
        <v>21.797298999999999</v>
      </c>
      <c r="E17" s="13">
        <v>21.885649000000001</v>
      </c>
      <c r="F17" s="13">
        <v>19.260380999999999</v>
      </c>
      <c r="G17" s="13">
        <v>11.763221</v>
      </c>
      <c r="H17" s="1"/>
      <c r="I17" s="13">
        <v>2019</v>
      </c>
      <c r="J17" s="13">
        <v>46.333460000000002</v>
      </c>
      <c r="K17" s="13">
        <v>32.109050000000003</v>
      </c>
      <c r="L17" s="13">
        <v>19.626404000000001</v>
      </c>
      <c r="M17" s="13">
        <v>1.931087</v>
      </c>
      <c r="N17" s="1"/>
      <c r="O17" s="13">
        <v>2019</v>
      </c>
      <c r="P17" s="13">
        <v>60.822921000000001</v>
      </c>
      <c r="Q17" s="13">
        <v>39.177078999999999</v>
      </c>
      <c r="R17" s="1"/>
      <c r="S17" s="13">
        <v>2019</v>
      </c>
      <c r="T17" s="13">
        <v>5.2721410000000004</v>
      </c>
      <c r="U17" s="13">
        <v>23.414881000000001</v>
      </c>
      <c r="V17" s="13">
        <v>25.918199999999999</v>
      </c>
      <c r="W17" s="13">
        <v>23.206271000000001</v>
      </c>
      <c r="X17" s="13">
        <v>14.861875</v>
      </c>
      <c r="Y17" s="13">
        <v>7.3266330000000002</v>
      </c>
      <c r="Z17" s="1"/>
      <c r="AA17" s="13">
        <v>2019</v>
      </c>
      <c r="AB17" s="13">
        <v>44.478158999999998</v>
      </c>
      <c r="AC17" s="13">
        <v>25.178583</v>
      </c>
      <c r="AD17" s="13">
        <v>27.068715000000001</v>
      </c>
      <c r="AE17" s="13">
        <v>3.274543</v>
      </c>
      <c r="AF17" s="1"/>
      <c r="AG17" s="13">
        <v>2019</v>
      </c>
      <c r="AH17" s="13">
        <v>55.989632999999998</v>
      </c>
      <c r="AI17" s="13">
        <v>44.010367000000002</v>
      </c>
      <c r="AJ17" s="1"/>
      <c r="AK17" s="13">
        <v>2019</v>
      </c>
      <c r="AL17" s="13">
        <v>5.6494920000000004</v>
      </c>
      <c r="AM17" s="13">
        <v>24.994453</v>
      </c>
      <c r="AN17" s="13">
        <v>22.988506000000001</v>
      </c>
      <c r="AO17" s="13">
        <v>23.862779</v>
      </c>
      <c r="AP17" s="13">
        <v>15.444015</v>
      </c>
      <c r="AQ17" s="13">
        <v>7.0607550000000003</v>
      </c>
      <c r="AR17" s="1"/>
      <c r="AS17" s="13">
        <v>2019</v>
      </c>
      <c r="AT17" s="13">
        <v>47.281765</v>
      </c>
      <c r="AU17" s="13">
        <v>29.920560999999999</v>
      </c>
      <c r="AV17" s="13">
        <v>21.200018</v>
      </c>
      <c r="AW17" s="13">
        <v>1.5976570000000001</v>
      </c>
      <c r="AX17" s="1"/>
      <c r="AY17" s="13">
        <v>2019</v>
      </c>
      <c r="AZ17" s="13">
        <v>34.167665</v>
      </c>
      <c r="BA17" s="13">
        <v>65.832335</v>
      </c>
      <c r="BB17" s="1"/>
      <c r="BC17" s="13">
        <v>2019</v>
      </c>
      <c r="BD17" s="13">
        <v>6.0971760000000002</v>
      </c>
      <c r="BE17" s="13">
        <v>23.529412000000001</v>
      </c>
      <c r="BF17" s="13">
        <v>22.366841000000001</v>
      </c>
      <c r="BG17" s="13">
        <v>24.192834999999999</v>
      </c>
      <c r="BH17" s="13">
        <v>16.004296</v>
      </c>
      <c r="BI17" s="13">
        <v>7.8094400000000004</v>
      </c>
      <c r="BJ17" s="1"/>
      <c r="BK17" s="13">
        <v>2019</v>
      </c>
      <c r="BL17" s="13">
        <v>51.525874000000002</v>
      </c>
      <c r="BM17" s="13">
        <v>29.190624</v>
      </c>
      <c r="BN17" s="13">
        <v>17.937701000000001</v>
      </c>
      <c r="BO17" s="13">
        <v>1.345801</v>
      </c>
      <c r="BP17" s="1"/>
      <c r="BQ17" s="13">
        <v>2019</v>
      </c>
      <c r="BR17" s="13">
        <v>40.31718</v>
      </c>
      <c r="BS17" s="13">
        <v>59.68282</v>
      </c>
      <c r="BT17" s="1"/>
      <c r="BU17" s="13">
        <v>2019</v>
      </c>
      <c r="BV17" s="13">
        <v>4.7363010000000001</v>
      </c>
      <c r="BW17" s="13">
        <v>26.694078000000001</v>
      </c>
      <c r="BX17" s="13">
        <v>25.776864</v>
      </c>
      <c r="BY17" s="13">
        <v>22.448011000000001</v>
      </c>
      <c r="BZ17" s="13">
        <v>14.841464</v>
      </c>
      <c r="CA17" s="13">
        <v>5.5032810000000003</v>
      </c>
      <c r="CB17" s="1"/>
      <c r="CC17" s="13">
        <v>2019</v>
      </c>
      <c r="CD17" s="13">
        <v>48.636040000000001</v>
      </c>
      <c r="CE17" s="13">
        <v>32.007590999999998</v>
      </c>
      <c r="CF17" s="13">
        <v>18.114968000000001</v>
      </c>
      <c r="CG17" s="13">
        <v>1.241401</v>
      </c>
      <c r="CH17" s="1"/>
      <c r="CI17" s="13">
        <v>2019</v>
      </c>
      <c r="CJ17" s="13">
        <v>44.650905000000002</v>
      </c>
      <c r="CK17" s="13">
        <v>55.349094999999998</v>
      </c>
    </row>
    <row r="18" spans="1:89" ht="15.75" x14ac:dyDescent="0.25">
      <c r="A18" s="13">
        <v>2020</v>
      </c>
      <c r="B18" s="13">
        <v>2.8513920000000001</v>
      </c>
      <c r="C18" s="13">
        <v>18.316001</v>
      </c>
      <c r="D18" s="13">
        <v>25.360617000000001</v>
      </c>
      <c r="E18" s="13">
        <v>23.934920999999999</v>
      </c>
      <c r="F18" s="13">
        <v>18.517275999999999</v>
      </c>
      <c r="G18" s="13">
        <v>11.019792000000001</v>
      </c>
      <c r="H18" s="1"/>
      <c r="I18" s="13">
        <v>2020</v>
      </c>
      <c r="J18" s="13">
        <v>43.408251999999997</v>
      </c>
      <c r="K18" s="13">
        <v>32.053001999999999</v>
      </c>
      <c r="L18" s="13">
        <v>21.502851</v>
      </c>
      <c r="M18" s="13">
        <v>3.0358939999999999</v>
      </c>
      <c r="N18" s="1"/>
      <c r="O18" s="13">
        <v>2020</v>
      </c>
      <c r="P18" s="13">
        <v>55.602147000000002</v>
      </c>
      <c r="Q18" s="13">
        <v>44.397852999999998</v>
      </c>
      <c r="R18" s="1"/>
      <c r="S18" s="13">
        <v>2020</v>
      </c>
      <c r="T18" s="13">
        <v>4.5791110000000002</v>
      </c>
      <c r="U18" s="13">
        <v>24.727201999999998</v>
      </c>
      <c r="V18" s="13">
        <v>25.584567</v>
      </c>
      <c r="W18" s="13">
        <v>23.090413000000002</v>
      </c>
      <c r="X18" s="13">
        <v>14.848012000000001</v>
      </c>
      <c r="Y18" s="13">
        <v>7.1706940000000001</v>
      </c>
      <c r="Z18" s="1"/>
      <c r="AA18" s="13">
        <v>2020</v>
      </c>
      <c r="AB18" s="13">
        <v>42.296700000000001</v>
      </c>
      <c r="AC18" s="13">
        <v>25.935307999999999</v>
      </c>
      <c r="AD18" s="13">
        <v>28.474928999999999</v>
      </c>
      <c r="AE18" s="13">
        <v>3.2930630000000001</v>
      </c>
      <c r="AF18" s="1"/>
      <c r="AG18" s="13">
        <v>2020</v>
      </c>
      <c r="AH18" s="13">
        <v>55.514418999999997</v>
      </c>
      <c r="AI18" s="13">
        <v>44.485581000000003</v>
      </c>
      <c r="AJ18" s="1"/>
      <c r="AK18" s="13">
        <v>2020</v>
      </c>
      <c r="AL18" s="13">
        <v>4.8933160000000004</v>
      </c>
      <c r="AM18" s="13">
        <v>25.018509999999999</v>
      </c>
      <c r="AN18" s="13">
        <v>23.739650999999999</v>
      </c>
      <c r="AO18" s="13">
        <v>23.712727999999998</v>
      </c>
      <c r="AP18" s="13">
        <v>16.187656</v>
      </c>
      <c r="AQ18" s="13">
        <v>6.4481390000000003</v>
      </c>
      <c r="AR18" s="1"/>
      <c r="AS18" s="13">
        <v>2020</v>
      </c>
      <c r="AT18" s="13">
        <v>47.607188999999998</v>
      </c>
      <c r="AU18" s="13">
        <v>28.720468</v>
      </c>
      <c r="AV18" s="13">
        <v>22.104058999999999</v>
      </c>
      <c r="AW18" s="13">
        <v>1.568284</v>
      </c>
      <c r="AX18" s="1"/>
      <c r="AY18" s="13">
        <v>2020</v>
      </c>
      <c r="AZ18" s="13">
        <v>34.058019999999999</v>
      </c>
      <c r="BA18" s="13">
        <v>65.941980000000001</v>
      </c>
      <c r="BB18" s="1"/>
      <c r="BC18" s="13">
        <v>2020</v>
      </c>
      <c r="BD18" s="13">
        <v>4.7981439999999997</v>
      </c>
      <c r="BE18" s="13">
        <v>24.092807000000001</v>
      </c>
      <c r="BF18" s="13">
        <v>22.635731</v>
      </c>
      <c r="BG18" s="13">
        <v>24.129930000000002</v>
      </c>
      <c r="BH18" s="13">
        <v>17.392111</v>
      </c>
      <c r="BI18" s="13">
        <v>6.951276</v>
      </c>
      <c r="BJ18" s="1"/>
      <c r="BK18" s="13">
        <v>2020</v>
      </c>
      <c r="BL18" s="13">
        <v>48.139211000000003</v>
      </c>
      <c r="BM18" s="13">
        <v>30.236659</v>
      </c>
      <c r="BN18" s="13">
        <v>20.009281000000001</v>
      </c>
      <c r="BO18" s="13">
        <v>1.614849</v>
      </c>
      <c r="BP18" s="1"/>
      <c r="BQ18" s="13">
        <v>2020</v>
      </c>
      <c r="BR18" s="13">
        <v>37.698376000000003</v>
      </c>
      <c r="BS18" s="13">
        <v>62.301623999999997</v>
      </c>
      <c r="BT18" s="1"/>
      <c r="BU18" s="13">
        <v>2020</v>
      </c>
      <c r="BV18" s="13">
        <v>4.4935260000000001</v>
      </c>
      <c r="BW18" s="13">
        <v>26.184311000000001</v>
      </c>
      <c r="BX18" s="13">
        <v>25.894897</v>
      </c>
      <c r="BY18" s="13">
        <v>23.229246</v>
      </c>
      <c r="BZ18" s="13">
        <v>15.460777</v>
      </c>
      <c r="CA18" s="13">
        <v>4.7372430000000003</v>
      </c>
      <c r="CB18" s="1"/>
      <c r="CC18" s="13">
        <v>2020</v>
      </c>
      <c r="CD18" s="13">
        <v>48.484386999999998</v>
      </c>
      <c r="CE18" s="13">
        <v>31.089109000000001</v>
      </c>
      <c r="CF18" s="13">
        <v>19.086061999999998</v>
      </c>
      <c r="CG18" s="13">
        <v>1.3404419999999999</v>
      </c>
      <c r="CH18" s="1"/>
      <c r="CI18" s="13">
        <v>2020</v>
      </c>
      <c r="CJ18" s="13">
        <v>45.498857999999998</v>
      </c>
      <c r="CK18" s="13">
        <v>54.501142000000002</v>
      </c>
    </row>
    <row r="19" spans="1:89" ht="15.75" x14ac:dyDescent="0.25">
      <c r="A19" s="13">
        <v>2021</v>
      </c>
      <c r="B19" s="13">
        <v>3.660301</v>
      </c>
      <c r="C19" s="13">
        <v>20.196759</v>
      </c>
      <c r="D19" s="13">
        <v>24.580439999999999</v>
      </c>
      <c r="E19" s="13">
        <v>23.582176</v>
      </c>
      <c r="F19" s="13">
        <v>18.012153000000001</v>
      </c>
      <c r="G19" s="13">
        <v>9.9681709999999999</v>
      </c>
      <c r="H19" s="1"/>
      <c r="I19" s="13">
        <v>2021</v>
      </c>
      <c r="J19" s="13">
        <v>40.523727000000001</v>
      </c>
      <c r="K19" s="13">
        <v>33.752893999999998</v>
      </c>
      <c r="L19" s="13">
        <v>22.65625</v>
      </c>
      <c r="M19" s="13">
        <v>3.0671300000000001</v>
      </c>
      <c r="N19" s="1"/>
      <c r="O19" s="13">
        <v>2021</v>
      </c>
      <c r="P19" s="13">
        <v>58.072916999999997</v>
      </c>
      <c r="Q19" s="13">
        <v>41.927083000000003</v>
      </c>
      <c r="R19" s="1"/>
      <c r="S19" s="13">
        <v>2021</v>
      </c>
      <c r="T19" s="13">
        <v>4.594258</v>
      </c>
      <c r="U19" s="13">
        <v>23.657896000000001</v>
      </c>
      <c r="V19" s="13">
        <v>26.026450000000001</v>
      </c>
      <c r="W19" s="13">
        <v>22.865306</v>
      </c>
      <c r="X19" s="13">
        <v>15.496981999999999</v>
      </c>
      <c r="Y19" s="13">
        <v>7.359108</v>
      </c>
      <c r="Z19" s="1"/>
      <c r="AA19" s="13">
        <v>2021</v>
      </c>
      <c r="AB19" s="13">
        <v>41.113312999999998</v>
      </c>
      <c r="AC19" s="13">
        <v>25.505737</v>
      </c>
      <c r="AD19" s="13">
        <v>29.477903999999999</v>
      </c>
      <c r="AE19" s="13">
        <v>3.9030459999999998</v>
      </c>
      <c r="AF19" s="1"/>
      <c r="AG19" s="13">
        <v>2021</v>
      </c>
      <c r="AH19" s="13">
        <v>57.306114999999998</v>
      </c>
      <c r="AI19" s="13">
        <v>42.693885000000002</v>
      </c>
      <c r="AJ19" s="1"/>
      <c r="AK19" s="13">
        <v>2021</v>
      </c>
      <c r="AL19" s="13">
        <v>5.1565799999999999</v>
      </c>
      <c r="AM19" s="13">
        <v>25.048214000000002</v>
      </c>
      <c r="AN19" s="13">
        <v>23.119662000000002</v>
      </c>
      <c r="AO19" s="13">
        <v>23.376802000000001</v>
      </c>
      <c r="AP19" s="13">
        <v>16.447790999999999</v>
      </c>
      <c r="AQ19" s="13">
        <v>6.8509510000000002</v>
      </c>
      <c r="AR19" s="1"/>
      <c r="AS19" s="13">
        <v>2021</v>
      </c>
      <c r="AT19" s="13">
        <v>45.500045999999998</v>
      </c>
      <c r="AU19" s="13">
        <v>30.021121999999998</v>
      </c>
      <c r="AV19" s="13">
        <v>23.115069999999999</v>
      </c>
      <c r="AW19" s="13">
        <v>1.3637619999999999</v>
      </c>
      <c r="AX19" s="1"/>
      <c r="AY19" s="13">
        <v>2021</v>
      </c>
      <c r="AZ19" s="13">
        <v>34.736890000000002</v>
      </c>
      <c r="BA19" s="13">
        <v>65.263109999999998</v>
      </c>
      <c r="BB19" s="1"/>
      <c r="BC19" s="13">
        <v>2021</v>
      </c>
      <c r="BD19" s="13">
        <v>5.4837009999999999</v>
      </c>
      <c r="BE19" s="13">
        <v>24.621057</v>
      </c>
      <c r="BF19" s="13">
        <v>21.612922000000001</v>
      </c>
      <c r="BG19" s="13">
        <v>24.217241000000001</v>
      </c>
      <c r="BH19" s="13">
        <v>17.293849000000002</v>
      </c>
      <c r="BI19" s="13">
        <v>6.7712300000000001</v>
      </c>
      <c r="BJ19" s="1"/>
      <c r="BK19" s="13">
        <v>2021</v>
      </c>
      <c r="BL19" s="13">
        <v>46.075963999999999</v>
      </c>
      <c r="BM19" s="13">
        <v>30.883127999999999</v>
      </c>
      <c r="BN19" s="13">
        <v>21.074501000000001</v>
      </c>
      <c r="BO19" s="13">
        <v>1.966407</v>
      </c>
      <c r="BP19" s="1"/>
      <c r="BQ19" s="13">
        <v>2021</v>
      </c>
      <c r="BR19" s="13">
        <v>37.888452999999998</v>
      </c>
      <c r="BS19" s="13">
        <v>62.111547000000002</v>
      </c>
      <c r="BT19" s="1"/>
      <c r="BU19" s="13">
        <v>2021</v>
      </c>
      <c r="BV19" s="13">
        <v>4.2682359999999999</v>
      </c>
      <c r="BW19" s="13">
        <v>26.03904</v>
      </c>
      <c r="BX19" s="13">
        <v>25.347902999999999</v>
      </c>
      <c r="BY19" s="13">
        <v>23.592043</v>
      </c>
      <c r="BZ19" s="13">
        <v>15.345101</v>
      </c>
      <c r="CA19" s="13">
        <v>5.4076769999999996</v>
      </c>
      <c r="CB19" s="1"/>
      <c r="CC19" s="13">
        <v>2021</v>
      </c>
      <c r="CD19" s="13">
        <v>46.913234000000003</v>
      </c>
      <c r="CE19" s="13">
        <v>31.465395999999998</v>
      </c>
      <c r="CF19" s="13">
        <v>20.565985000000001</v>
      </c>
      <c r="CG19" s="13">
        <v>1.0553840000000001</v>
      </c>
      <c r="CH19" s="1"/>
      <c r="CI19" s="13">
        <v>2021</v>
      </c>
      <c r="CJ19" s="13">
        <v>44.130007999999997</v>
      </c>
      <c r="CK19" s="13">
        <v>55.869992000000003</v>
      </c>
    </row>
    <row r="20" spans="1:89" ht="15.75" x14ac:dyDescent="0.25">
      <c r="A20" s="13">
        <v>2022</v>
      </c>
      <c r="B20" s="13">
        <v>3.6680609999999998</v>
      </c>
      <c r="C20" s="13">
        <v>21.283124000000001</v>
      </c>
      <c r="D20" s="13">
        <v>23.124127999999999</v>
      </c>
      <c r="E20" s="13">
        <v>23.277545</v>
      </c>
      <c r="F20" s="13">
        <v>18.507670999999998</v>
      </c>
      <c r="G20" s="13">
        <v>10.139469999999999</v>
      </c>
      <c r="H20" s="1"/>
      <c r="I20" s="13">
        <v>2022</v>
      </c>
      <c r="J20" s="13">
        <v>39.958159000000002</v>
      </c>
      <c r="K20" s="13">
        <v>32.426777999999999</v>
      </c>
      <c r="L20" s="13">
        <v>24.811715</v>
      </c>
      <c r="M20" s="13">
        <v>2.803347</v>
      </c>
      <c r="N20" s="1"/>
      <c r="O20" s="13">
        <v>2022</v>
      </c>
      <c r="P20" s="13">
        <v>57.629010000000001</v>
      </c>
      <c r="Q20" s="13">
        <v>42.370989999999999</v>
      </c>
      <c r="R20" s="1"/>
      <c r="S20" s="13">
        <v>2022</v>
      </c>
      <c r="T20" s="13">
        <v>4.8066630000000004</v>
      </c>
      <c r="U20" s="13">
        <v>22.051091</v>
      </c>
      <c r="V20" s="13">
        <v>26.406403000000001</v>
      </c>
      <c r="W20" s="13">
        <v>23.200409000000001</v>
      </c>
      <c r="X20" s="13">
        <v>15.727513999999999</v>
      </c>
      <c r="Y20" s="13">
        <v>7.8079200000000002</v>
      </c>
      <c r="Z20" s="1"/>
      <c r="AA20" s="13">
        <v>2022</v>
      </c>
      <c r="AB20" s="13">
        <v>40.016750999999999</v>
      </c>
      <c r="AC20" s="13">
        <v>25.992276</v>
      </c>
      <c r="AD20" s="13">
        <v>29.896235999999998</v>
      </c>
      <c r="AE20" s="13">
        <v>4.0947370000000003</v>
      </c>
      <c r="AF20" s="1"/>
      <c r="AG20" s="13">
        <v>2022</v>
      </c>
      <c r="AH20" s="13">
        <v>56.563212999999998</v>
      </c>
      <c r="AI20" s="13">
        <v>43.436787000000002</v>
      </c>
      <c r="AJ20" s="1"/>
      <c r="AK20" s="13">
        <v>2022</v>
      </c>
      <c r="AL20" s="13">
        <v>4.8781600000000003</v>
      </c>
      <c r="AM20" s="13">
        <v>25.517589000000001</v>
      </c>
      <c r="AN20" s="13">
        <v>22.462440000000001</v>
      </c>
      <c r="AO20" s="13">
        <v>23.241114</v>
      </c>
      <c r="AP20" s="13">
        <v>17.011725999999999</v>
      </c>
      <c r="AQ20" s="13">
        <v>6.8889699999999996</v>
      </c>
      <c r="AR20" s="1"/>
      <c r="AS20" s="13">
        <v>2022</v>
      </c>
      <c r="AT20" s="13">
        <v>44.805790000000002</v>
      </c>
      <c r="AU20" s="13">
        <v>30.093440999999999</v>
      </c>
      <c r="AV20" s="13">
        <v>23.543422</v>
      </c>
      <c r="AW20" s="13">
        <v>1.557347</v>
      </c>
      <c r="AX20" s="1"/>
      <c r="AY20" s="13">
        <v>2022</v>
      </c>
      <c r="AZ20" s="13">
        <v>33.941004</v>
      </c>
      <c r="BA20" s="13">
        <v>66.058995999999993</v>
      </c>
      <c r="BB20" s="1"/>
      <c r="BC20" s="13">
        <v>2022</v>
      </c>
      <c r="BD20" s="13">
        <v>5.095135</v>
      </c>
      <c r="BE20" s="13">
        <v>25.309667000000001</v>
      </c>
      <c r="BF20" s="13">
        <v>21.670285</v>
      </c>
      <c r="BG20" s="13">
        <v>23.247350000000001</v>
      </c>
      <c r="BH20" s="13">
        <v>17.571190999999999</v>
      </c>
      <c r="BI20" s="13">
        <v>7.1063720000000004</v>
      </c>
      <c r="BJ20" s="1"/>
      <c r="BK20" s="13">
        <v>2022</v>
      </c>
      <c r="BL20" s="13">
        <v>45.256034</v>
      </c>
      <c r="BM20" s="13">
        <v>31.892479000000002</v>
      </c>
      <c r="BN20" s="13">
        <v>21.236113</v>
      </c>
      <c r="BO20" s="13">
        <v>1.615375</v>
      </c>
      <c r="BP20" s="1"/>
      <c r="BQ20" s="13">
        <v>2022</v>
      </c>
      <c r="BR20" s="13">
        <v>38.430596000000001</v>
      </c>
      <c r="BS20" s="13">
        <v>61.569403999999999</v>
      </c>
      <c r="BT20" s="1"/>
      <c r="BU20" s="13">
        <v>2022</v>
      </c>
      <c r="BV20" s="13">
        <v>4.0422269999999996</v>
      </c>
      <c r="BW20" s="13">
        <v>25.877469999999999</v>
      </c>
      <c r="BX20" s="13">
        <v>25.642876000000001</v>
      </c>
      <c r="BY20" s="13">
        <v>22.845800000000001</v>
      </c>
      <c r="BZ20" s="13">
        <v>15.997474</v>
      </c>
      <c r="CA20" s="13">
        <v>5.5941530000000004</v>
      </c>
      <c r="CB20" s="1"/>
      <c r="CC20" s="13">
        <v>2022</v>
      </c>
      <c r="CD20" s="13">
        <v>45.538212000000001</v>
      </c>
      <c r="CE20" s="13">
        <v>32.328792</v>
      </c>
      <c r="CF20" s="13">
        <v>20.761527000000001</v>
      </c>
      <c r="CG20" s="13">
        <v>1.37147</v>
      </c>
      <c r="CH20" s="1"/>
      <c r="CI20" s="13">
        <v>2022</v>
      </c>
      <c r="CJ20" s="13">
        <v>44.256970000000003</v>
      </c>
      <c r="CK20" s="13">
        <v>55.743029999999997</v>
      </c>
    </row>
    <row r="21" spans="1:89" ht="15.75" x14ac:dyDescent="0.25">
      <c r="A21" s="13">
        <v>2023</v>
      </c>
      <c r="B21" s="13">
        <v>3.8090199999999999</v>
      </c>
      <c r="C21" s="13">
        <v>19.613807999999999</v>
      </c>
      <c r="D21" s="13">
        <v>24.282502000000001</v>
      </c>
      <c r="E21" s="13">
        <v>20.552837</v>
      </c>
      <c r="F21" s="13">
        <v>19.798967999999999</v>
      </c>
      <c r="G21" s="13">
        <v>11.942864999999999</v>
      </c>
      <c r="H21" s="1"/>
      <c r="I21" s="13">
        <v>2023</v>
      </c>
      <c r="J21" s="13">
        <v>40.801481000000003</v>
      </c>
      <c r="K21" s="13">
        <v>31.887315999999998</v>
      </c>
      <c r="L21" s="13">
        <v>23.965084000000001</v>
      </c>
      <c r="M21" s="13">
        <v>3.3461180000000001</v>
      </c>
      <c r="N21" s="1"/>
      <c r="O21" s="13">
        <v>2023</v>
      </c>
      <c r="P21" s="13">
        <v>57.346912000000003</v>
      </c>
      <c r="Q21" s="13">
        <v>42.653087999999997</v>
      </c>
      <c r="R21" s="1"/>
      <c r="S21" s="13">
        <v>2023</v>
      </c>
      <c r="T21" s="13">
        <v>4.7745600000000001</v>
      </c>
      <c r="U21" s="13">
        <v>21.417954000000002</v>
      </c>
      <c r="V21" s="13">
        <v>25.530381999999999</v>
      </c>
      <c r="W21" s="13">
        <v>23.543984999999999</v>
      </c>
      <c r="X21" s="13">
        <v>16.215485999999999</v>
      </c>
      <c r="Y21" s="13">
        <v>8.5176339999999993</v>
      </c>
      <c r="Z21" s="1"/>
      <c r="AA21" s="13">
        <v>2023</v>
      </c>
      <c r="AB21" s="13">
        <v>40.723390999999999</v>
      </c>
      <c r="AC21" s="13">
        <v>25.570920000000001</v>
      </c>
      <c r="AD21" s="13">
        <v>29.899553999999998</v>
      </c>
      <c r="AE21" s="13">
        <v>3.8061349999999998</v>
      </c>
      <c r="AF21" s="1"/>
      <c r="AG21" s="13">
        <v>2023</v>
      </c>
      <c r="AH21" s="13">
        <v>57.168596000000001</v>
      </c>
      <c r="AI21" s="13">
        <v>42.831403999999999</v>
      </c>
      <c r="AJ21" s="1"/>
      <c r="AK21" s="13">
        <v>2023</v>
      </c>
      <c r="AL21" s="13">
        <v>5.0644099999999996</v>
      </c>
      <c r="AM21" s="13">
        <v>25.427295999999998</v>
      </c>
      <c r="AN21" s="13">
        <v>22.425697</v>
      </c>
      <c r="AO21" s="13">
        <v>22.396228000000001</v>
      </c>
      <c r="AP21" s="13">
        <v>17.108696999999999</v>
      </c>
      <c r="AQ21" s="13">
        <v>7.5776709999999996</v>
      </c>
      <c r="AR21" s="1"/>
      <c r="AS21" s="13">
        <v>2023</v>
      </c>
      <c r="AT21" s="13">
        <v>45.297634000000002</v>
      </c>
      <c r="AU21" s="13">
        <v>29.658162999999998</v>
      </c>
      <c r="AV21" s="13">
        <v>23.377115</v>
      </c>
      <c r="AW21" s="13">
        <v>1.6670879999999999</v>
      </c>
      <c r="AX21" s="1"/>
      <c r="AY21" s="13">
        <v>2023</v>
      </c>
      <c r="AZ21" s="13">
        <v>34.962533000000001</v>
      </c>
      <c r="BA21" s="13">
        <v>65.037467000000007</v>
      </c>
      <c r="BB21" s="1"/>
      <c r="BC21" s="13">
        <v>2023</v>
      </c>
      <c r="BD21" s="13">
        <v>5.0498570000000003</v>
      </c>
      <c r="BE21" s="13">
        <v>25.348417000000001</v>
      </c>
      <c r="BF21" s="13">
        <v>21.190740000000002</v>
      </c>
      <c r="BG21" s="13">
        <v>23.167532000000001</v>
      </c>
      <c r="BH21" s="13">
        <v>17.540381</v>
      </c>
      <c r="BI21" s="13">
        <v>7.7030729999999998</v>
      </c>
      <c r="BJ21" s="1"/>
      <c r="BK21" s="13">
        <v>2023</v>
      </c>
      <c r="BL21" s="13">
        <v>45.110501999999997</v>
      </c>
      <c r="BM21" s="13">
        <v>31.640329000000001</v>
      </c>
      <c r="BN21" s="13">
        <v>21.598927</v>
      </c>
      <c r="BO21" s="13">
        <v>1.650242</v>
      </c>
      <c r="BP21" s="1"/>
      <c r="BQ21" s="13">
        <v>2023</v>
      </c>
      <c r="BR21" s="13">
        <v>38.707796000000002</v>
      </c>
      <c r="BS21" s="13">
        <v>61.292203999999998</v>
      </c>
      <c r="BT21" s="1"/>
      <c r="BU21" s="13">
        <v>2023</v>
      </c>
      <c r="BV21" s="13">
        <v>4.7777960000000004</v>
      </c>
      <c r="BW21" s="13">
        <v>24.890118999999999</v>
      </c>
      <c r="BX21" s="13">
        <v>24.751750000000001</v>
      </c>
      <c r="BY21" s="13">
        <v>23.262250000000002</v>
      </c>
      <c r="BZ21" s="13">
        <v>15.879863</v>
      </c>
      <c r="CA21" s="13">
        <v>6.4382219999999997</v>
      </c>
      <c r="CB21" s="1"/>
      <c r="CC21" s="13">
        <v>2023</v>
      </c>
      <c r="CD21" s="13">
        <v>45.555917000000001</v>
      </c>
      <c r="CE21" s="13">
        <v>32.085299999999997</v>
      </c>
      <c r="CF21" s="13">
        <v>20.877420999999998</v>
      </c>
      <c r="CG21" s="13">
        <v>1.4813609999999999</v>
      </c>
      <c r="CH21" s="1"/>
      <c r="CI21" s="13">
        <v>2023</v>
      </c>
      <c r="CJ21" s="13">
        <v>45.311737000000001</v>
      </c>
      <c r="CK21" s="13">
        <v>54.688262999999999</v>
      </c>
    </row>
    <row r="22" spans="1:89" ht="15.75" x14ac:dyDescent="0.25">
      <c r="A22" s="13">
        <v>2024</v>
      </c>
      <c r="B22" s="13">
        <v>3.7154240000000001</v>
      </c>
      <c r="C22" s="13">
        <v>18.975621</v>
      </c>
      <c r="D22" s="13">
        <v>22.609000999999999</v>
      </c>
      <c r="E22" s="13">
        <v>21.542428999999998</v>
      </c>
      <c r="F22" s="13">
        <v>21.354899</v>
      </c>
      <c r="G22" s="13">
        <v>11.802625000000001</v>
      </c>
      <c r="H22" s="1"/>
      <c r="I22" s="13">
        <v>2024</v>
      </c>
      <c r="J22" s="13">
        <v>36.673698999999999</v>
      </c>
      <c r="K22" s="13">
        <v>32.45429</v>
      </c>
      <c r="L22" s="13">
        <v>26.336145999999999</v>
      </c>
      <c r="M22" s="13">
        <v>4.5358650000000003</v>
      </c>
      <c r="N22" s="1"/>
      <c r="O22" s="13">
        <v>2024</v>
      </c>
      <c r="P22" s="13">
        <v>54.899203</v>
      </c>
      <c r="Q22" s="13">
        <v>45.100797</v>
      </c>
      <c r="R22" s="1"/>
      <c r="S22" s="13">
        <v>2024</v>
      </c>
      <c r="T22" s="13">
        <v>4.9345080000000001</v>
      </c>
      <c r="U22" s="13">
        <v>21.319362000000002</v>
      </c>
      <c r="V22" s="13">
        <v>25.363181999999998</v>
      </c>
      <c r="W22" s="13">
        <v>23.019767000000002</v>
      </c>
      <c r="X22" s="13">
        <v>16.723029</v>
      </c>
      <c r="Y22" s="13">
        <v>8.6401520000000005</v>
      </c>
      <c r="Z22" s="1"/>
      <c r="AA22" s="13">
        <v>2024</v>
      </c>
      <c r="AB22" s="13">
        <v>41.690879000000002</v>
      </c>
      <c r="AC22" s="13">
        <v>24.95356</v>
      </c>
      <c r="AD22" s="13">
        <v>29.892831999999999</v>
      </c>
      <c r="AE22" s="13">
        <v>3.4627289999999999</v>
      </c>
      <c r="AF22" s="1"/>
      <c r="AG22" s="13">
        <v>2024</v>
      </c>
      <c r="AH22" s="13">
        <v>59.085496999999997</v>
      </c>
      <c r="AI22" s="13">
        <v>40.914503000000003</v>
      </c>
      <c r="AJ22" s="1"/>
      <c r="AK22" s="13">
        <v>2024</v>
      </c>
      <c r="AL22" s="13">
        <v>4.8573219999999999</v>
      </c>
      <c r="AM22" s="13">
        <v>25.105108000000001</v>
      </c>
      <c r="AN22" s="13">
        <v>23.396547000000002</v>
      </c>
      <c r="AO22" s="13">
        <v>21.106539000000001</v>
      </c>
      <c r="AP22" s="13">
        <v>17.175059999999998</v>
      </c>
      <c r="AQ22" s="13">
        <v>8.3594240000000006</v>
      </c>
      <c r="AR22" s="1"/>
      <c r="AS22" s="13">
        <v>2024</v>
      </c>
      <c r="AT22" s="13">
        <v>44.069237000000001</v>
      </c>
      <c r="AU22" s="13">
        <v>29.841667000000001</v>
      </c>
      <c r="AV22" s="13">
        <v>24.179265000000001</v>
      </c>
      <c r="AW22" s="13">
        <v>1.9098310000000001</v>
      </c>
      <c r="AX22" s="1"/>
      <c r="AY22" s="13">
        <v>2024</v>
      </c>
      <c r="AZ22" s="13">
        <v>33.996780000000001</v>
      </c>
      <c r="BA22" s="13">
        <v>66.003219999999999</v>
      </c>
      <c r="BB22" s="1"/>
      <c r="BC22" s="13">
        <v>2024</v>
      </c>
      <c r="BD22" s="13">
        <v>4.8455519999999996</v>
      </c>
      <c r="BE22" s="13">
        <v>25.034355000000001</v>
      </c>
      <c r="BF22" s="13">
        <v>21.664574999999999</v>
      </c>
      <c r="BG22" s="13">
        <v>22.787835000000001</v>
      </c>
      <c r="BH22" s="13">
        <v>18.163350999999999</v>
      </c>
      <c r="BI22" s="13">
        <v>7.5043319999999998</v>
      </c>
      <c r="BJ22" s="1"/>
      <c r="BK22" s="13">
        <v>2024</v>
      </c>
      <c r="BL22" s="13">
        <v>44.816873000000001</v>
      </c>
      <c r="BM22" s="13">
        <v>31.528948</v>
      </c>
      <c r="BN22" s="13">
        <v>21.81992</v>
      </c>
      <c r="BO22" s="13">
        <v>1.8342590000000001</v>
      </c>
      <c r="BP22" s="1"/>
      <c r="BQ22" s="13">
        <v>2024</v>
      </c>
      <c r="BR22" s="13">
        <v>37.718826999999997</v>
      </c>
      <c r="BS22" s="13">
        <v>62.281173000000003</v>
      </c>
      <c r="BT22" s="1"/>
      <c r="BU22" s="13">
        <v>2024</v>
      </c>
      <c r="BV22" s="13">
        <v>4.5377729999999996</v>
      </c>
      <c r="BW22" s="13">
        <v>23.947946999999999</v>
      </c>
      <c r="BX22" s="13">
        <v>26.111205000000002</v>
      </c>
      <c r="BY22" s="13">
        <v>23.026872000000001</v>
      </c>
      <c r="BZ22" s="13">
        <v>15.869528000000001</v>
      </c>
      <c r="CA22" s="13">
        <v>6.5066759999999997</v>
      </c>
      <c r="CB22" s="1"/>
      <c r="CC22" s="13">
        <v>2024</v>
      </c>
      <c r="CD22" s="13">
        <v>45.284773000000001</v>
      </c>
      <c r="CE22" s="13">
        <v>32.524928000000003</v>
      </c>
      <c r="CF22" s="13">
        <v>20.846713000000001</v>
      </c>
      <c r="CG22" s="13">
        <v>1.3435859999999999</v>
      </c>
      <c r="CH22" s="1"/>
      <c r="CI22" s="13">
        <v>2024</v>
      </c>
      <c r="CJ22" s="13">
        <v>43.307419000000003</v>
      </c>
      <c r="CK22" s="13">
        <v>56.692580999999997</v>
      </c>
    </row>
    <row r="23" spans="1:89" ht="15.75" x14ac:dyDescent="0.25">
      <c r="A23" s="13">
        <v>2025</v>
      </c>
      <c r="B23" s="13">
        <v>3.6968329999999998</v>
      </c>
      <c r="C23" s="13">
        <v>18.550416999999999</v>
      </c>
      <c r="D23" s="13">
        <v>23.532529</v>
      </c>
      <c r="E23" s="13">
        <v>21.054724</v>
      </c>
      <c r="F23" s="13">
        <v>20.617463999999998</v>
      </c>
      <c r="G23" s="13">
        <v>12.548031999999999</v>
      </c>
      <c r="H23" s="1"/>
      <c r="I23" s="13">
        <v>2025</v>
      </c>
      <c r="J23" s="13">
        <v>35.948059000000001</v>
      </c>
      <c r="K23" s="13">
        <v>33.231748000000003</v>
      </c>
      <c r="L23" s="13">
        <v>26.553597</v>
      </c>
      <c r="M23" s="13">
        <v>4.2665959999999998</v>
      </c>
      <c r="N23" s="1"/>
      <c r="O23" s="13">
        <v>2025</v>
      </c>
      <c r="P23" s="13">
        <v>55.240493000000001</v>
      </c>
      <c r="Q23" s="13">
        <v>44.759506999999999</v>
      </c>
      <c r="R23" s="1"/>
      <c r="S23" s="13">
        <v>2025</v>
      </c>
      <c r="T23" s="13">
        <v>5.1047120000000001</v>
      </c>
      <c r="U23" s="13">
        <v>20.811518</v>
      </c>
      <c r="V23" s="13">
        <v>25.805477</v>
      </c>
      <c r="W23" s="13">
        <v>22.346958999999998</v>
      </c>
      <c r="X23" s="13">
        <v>17.297623999999999</v>
      </c>
      <c r="Y23" s="13">
        <v>8.6337089999999996</v>
      </c>
      <c r="Z23" s="1"/>
      <c r="AA23" s="13">
        <v>2025</v>
      </c>
      <c r="AB23" s="13">
        <v>42.982280000000003</v>
      </c>
      <c r="AC23" s="13">
        <v>26.897905999999999</v>
      </c>
      <c r="AD23" s="13">
        <v>27.285542</v>
      </c>
      <c r="AE23" s="13">
        <v>2.834273</v>
      </c>
      <c r="AF23" s="1"/>
      <c r="AG23" s="13">
        <v>2025</v>
      </c>
      <c r="AH23" s="13">
        <v>62.666130000000003</v>
      </c>
      <c r="AI23" s="13">
        <v>37.333869999999997</v>
      </c>
      <c r="AJ23" s="1"/>
      <c r="AK23" s="13">
        <v>2025</v>
      </c>
      <c r="AL23" s="13">
        <v>4.5030900000000003</v>
      </c>
      <c r="AM23" s="13">
        <v>24.784723</v>
      </c>
      <c r="AN23" s="13">
        <v>24.602371000000002</v>
      </c>
      <c r="AO23" s="13">
        <v>21.765778999999998</v>
      </c>
      <c r="AP23" s="13">
        <v>17.369060999999999</v>
      </c>
      <c r="AQ23" s="13">
        <v>6.974977</v>
      </c>
      <c r="AR23" s="1"/>
      <c r="AS23" s="13">
        <v>2025</v>
      </c>
      <c r="AT23" s="13">
        <v>43.252963000000001</v>
      </c>
      <c r="AU23" s="13">
        <v>30.422450000000001</v>
      </c>
      <c r="AV23" s="13">
        <v>24.197143000000001</v>
      </c>
      <c r="AW23" s="13">
        <v>2.1274440000000001</v>
      </c>
      <c r="AX23" s="1"/>
      <c r="AY23" s="13">
        <v>2025</v>
      </c>
      <c r="AZ23" s="13">
        <v>33.046297000000003</v>
      </c>
      <c r="BA23" s="13">
        <v>66.953703000000004</v>
      </c>
      <c r="BB23" s="1"/>
      <c r="BC23" s="13">
        <v>2025</v>
      </c>
      <c r="BD23" s="13">
        <v>5.7858049999999999</v>
      </c>
      <c r="BE23" s="13">
        <v>23.825227000000002</v>
      </c>
      <c r="BF23" s="13">
        <v>24.447275999999999</v>
      </c>
      <c r="BG23" s="13">
        <v>21.134677</v>
      </c>
      <c r="BH23" s="13">
        <v>17.732144000000002</v>
      </c>
      <c r="BI23" s="13">
        <v>7.0748709999999999</v>
      </c>
      <c r="BJ23" s="1"/>
      <c r="BK23" s="13">
        <v>2025</v>
      </c>
      <c r="BL23" s="13">
        <v>45.004871000000001</v>
      </c>
      <c r="BM23" s="13">
        <v>32.301580999999999</v>
      </c>
      <c r="BN23" s="13">
        <v>20.864872999999999</v>
      </c>
      <c r="BO23" s="13">
        <v>1.8286739999999999</v>
      </c>
      <c r="BP23" s="1"/>
      <c r="BQ23" s="13">
        <v>2025</v>
      </c>
      <c r="BR23" s="13">
        <v>37.817582000000002</v>
      </c>
      <c r="BS23" s="13">
        <v>62.182417999999998</v>
      </c>
      <c r="BT23" s="1"/>
      <c r="BU23" s="13">
        <v>2025</v>
      </c>
      <c r="BV23" s="13">
        <v>4.3462639999999997</v>
      </c>
      <c r="BW23" s="13">
        <v>23.599138</v>
      </c>
      <c r="BX23" s="13">
        <v>28.439295999999999</v>
      </c>
      <c r="BY23" s="13">
        <v>23.446480000000001</v>
      </c>
      <c r="BZ23" s="13">
        <v>14.538434000000001</v>
      </c>
      <c r="CA23" s="13">
        <v>5.6303879999999999</v>
      </c>
      <c r="CB23" s="1"/>
      <c r="CC23" s="13">
        <v>2025</v>
      </c>
      <c r="CD23" s="13">
        <v>43.408763999999998</v>
      </c>
      <c r="CE23" s="13">
        <v>34.024783999999997</v>
      </c>
      <c r="CF23" s="13">
        <v>21.138649000000001</v>
      </c>
      <c r="CG23" s="13">
        <v>1.427802</v>
      </c>
      <c r="CH23" s="1"/>
      <c r="CI23" s="13">
        <v>2025</v>
      </c>
      <c r="CJ23" s="13">
        <v>42.537716000000003</v>
      </c>
      <c r="CK23" s="13">
        <v>57.462283999999997</v>
      </c>
    </row>
  </sheetData>
  <mergeCells count="15">
    <mergeCell ref="CI1:CK1"/>
    <mergeCell ref="CC1:CG1"/>
    <mergeCell ref="BU1:CA1"/>
    <mergeCell ref="AY1:BA1"/>
    <mergeCell ref="AS1:AW1"/>
    <mergeCell ref="AK1:AQ1"/>
    <mergeCell ref="BQ1:BS1"/>
    <mergeCell ref="BK1:BO1"/>
    <mergeCell ref="BC1:BI1"/>
    <mergeCell ref="O1:Q1"/>
    <mergeCell ref="I1:M1"/>
    <mergeCell ref="A1:G1"/>
    <mergeCell ref="AG1:AI1"/>
    <mergeCell ref="AA1:AE1"/>
    <mergeCell ref="S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Muestra</vt:lpstr>
      <vt:lpstr>Importancias</vt:lpstr>
      <vt:lpstr>Metricas (MAE)</vt:lpstr>
      <vt:lpstr>Cronologia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Hernández Beltrán</dc:creator>
  <cp:lastModifiedBy>Diego Hernández Beltrán</cp:lastModifiedBy>
  <dcterms:created xsi:type="dcterms:W3CDTF">2026-05-19T22:50:26Z</dcterms:created>
  <dcterms:modified xsi:type="dcterms:W3CDTF">2026-05-23T04:27:43Z</dcterms:modified>
</cp:coreProperties>
</file>